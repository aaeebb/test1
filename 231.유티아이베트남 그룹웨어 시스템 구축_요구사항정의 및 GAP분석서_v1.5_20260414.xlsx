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18610" windowHeight="5800" tabRatio="965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협업" sheetId="2" state="visible" r:id="rId2"/>
    <sheet xmlns:r="http://schemas.openxmlformats.org/officeDocument/2006/relationships" name="전자결재" sheetId="3" state="visible" r:id="rId3"/>
    <sheet xmlns:r="http://schemas.openxmlformats.org/officeDocument/2006/relationships" name="웹메일" sheetId="4" state="visible" r:id="rId4"/>
    <sheet xmlns:r="http://schemas.openxmlformats.org/officeDocument/2006/relationships" name="Outlook Add-in" sheetId="5" state="visible" r:id="rId5"/>
    <sheet xmlns:r="http://schemas.openxmlformats.org/officeDocument/2006/relationships" name="조직도" sheetId="6" state="visible" r:id="rId6"/>
    <sheet xmlns:r="http://schemas.openxmlformats.org/officeDocument/2006/relationships" name="이음톡" sheetId="7" state="visible" r:id="rId7"/>
    <sheet xmlns:r="http://schemas.openxmlformats.org/officeDocument/2006/relationships" name="환경변수" sheetId="8" state="hidden" r:id="rId8"/>
  </sheets>
  <definedNames>
    <definedName name="AA" hidden="1">{"'Sheet1'!$A$1:$J$57","'Sheet1'!$F$32:$F$35","'Sheet1'!$F$32:$F$36"}</definedName>
    <definedName name="AB" hidden="1">{"'Sheet1'!$A$1:$J$57","'Sheet1'!$F$32:$F$35","'Sheet1'!$F$32:$F$36"}</definedName>
    <definedName name="afaga" hidden="1">{"'Sheet1'!$A$1:$J$57","'Sheet1'!$F$32:$F$35","'Sheet1'!$F$32:$F$36"}</definedName>
    <definedName name="AG" hidden="1">{"'Sheet1'!$A$1:$J$57","'Sheet1'!$F$32:$F$35","'Sheet1'!$F$32:$F$36"}</definedName>
    <definedName name="dddd" hidden="1">{"'Sheet1'!$A$1:$J$57","'Sheet1'!$F$32:$F$35","'Sheet1'!$F$32:$F$36"}</definedName>
    <definedName name="html" hidden="1">{"'Sheet1'!$A$1:$J$57","'Sheet1'!$F$32:$F$35","'Sheet1'!$F$32:$F$36"}</definedName>
    <definedName name="HTML_CodePage" hidden="1">1252</definedName>
    <definedName name="HTML_Control" hidden="1">{"'Sheet1'!$A$1:$J$57","'Sheet1'!$F$32:$F$35","'Sheet1'!$F$32:$F$36"}</definedName>
    <definedName name="HTML_Description" hidden="1">""</definedName>
    <definedName name="HTML_Email" hidden="1">""</definedName>
    <definedName name="HTML_Header" hidden="1">"Case 2"</definedName>
    <definedName name="HTML_LastUpdate" hidden="1">"6/21/98"</definedName>
    <definedName name="HTML_LineAfter" hidden="1">FALSE</definedName>
    <definedName name="HTML_LineBefore" hidden="1">FALSE</definedName>
    <definedName name="HTML_Name" hidden="1">"Robert Lau"</definedName>
    <definedName name="HTML_OBDlg2" hidden="1">TRUE</definedName>
    <definedName name="HTML_OBDlg4" hidden="1">TRUE</definedName>
    <definedName name="HTML_OS" hidden="1">0</definedName>
    <definedName name="HTML_PathFile" hidden="1">"C:\My Documents\Portal\Clients\NTT DoCoMo\Case 2.htm"</definedName>
    <definedName name="HTML_Title" hidden="1">"DoCoMo quotation (1,000,000)"</definedName>
    <definedName name="HTML1" hidden="1">{"'Sheet1'!$A$1:$J$57","'Sheet1'!$F$32:$F$35","'Sheet1'!$F$32:$F$36"}</definedName>
    <definedName name="HTML2" hidden="1">{"'Sheet1'!$A$1:$J$57","'Sheet1'!$F$32:$F$35","'Sheet1'!$F$32:$F$36"}</definedName>
    <definedName name="ups" hidden="1">{"'Sheet1'!$A$1:$J$57","'Sheet1'!$F$32:$F$35","'Sheet1'!$F$32:$F$36"}</definedName>
    <definedName name="견적_최종2" hidden="1">{"'Sheet1'!$A$1:$J$57","'Sheet1'!$F$32:$F$35","'Sheet1'!$F$32:$F$36"}</definedName>
    <definedName name="梅兰日兰UPS" hidden="1">{"'Sheet1'!$A$1:$J$57","'Sheet1'!$F$32:$F$35","'Sheet1'!$F$32:$F$36"}</definedName>
    <definedName name="ㅅㄴ" hidden="1">{"'Sheet1'!$A$1:$J$57","'Sheet1'!$F$32:$F$35","'Sheet1'!$F$32:$F$36"}</definedName>
    <definedName name="总价12" hidden="1">{"'Sheet1'!$A$1:$J$57","'Sheet1'!$F$32:$F$35","'Sheet1'!$F$32:$F$36"}</definedName>
    <definedName name="AA" localSheetId="0" hidden="1">{"'Sheet1'!$A$1:$J$57","'Sheet1'!$F$32:$F$35","'Sheet1'!$F$32:$F$36"}</definedName>
    <definedName name="AB" localSheetId="0" hidden="1">{"'Sheet1'!$A$1:$J$57","'Sheet1'!$F$32:$F$35","'Sheet1'!$F$32:$F$36"}</definedName>
    <definedName name="afaga" localSheetId="0" hidden="1">{"'Sheet1'!$A$1:$J$57","'Sheet1'!$F$32:$F$35","'Sheet1'!$F$32:$F$36"}</definedName>
    <definedName name="AG" localSheetId="0" hidden="1">{"'Sheet1'!$A$1:$J$57","'Sheet1'!$F$32:$F$35","'Sheet1'!$F$32:$F$36"}</definedName>
    <definedName name="dddd" localSheetId="0" hidden="1">{"'Sheet1'!$A$1:$J$57","'Sheet1'!$F$32:$F$35","'Sheet1'!$F$32:$F$36"}</definedName>
    <definedName name="html" localSheetId="0" hidden="1">{"'Sheet1'!$A$1:$J$57","'Sheet1'!$F$32:$F$35","'Sheet1'!$F$32:$F$36"}</definedName>
    <definedName name="HTML_Control" localSheetId="0" hidden="1">{"'Sheet1'!$A$1:$J$57","'Sheet1'!$F$32:$F$35","'Sheet1'!$F$32:$F$36"}</definedName>
    <definedName name="HTML1" localSheetId="0" hidden="1">{"'Sheet1'!$A$1:$J$57","'Sheet1'!$F$32:$F$35","'Sheet1'!$F$32:$F$36"}</definedName>
    <definedName name="HTML2" localSheetId="0" hidden="1">{"'Sheet1'!$A$1:$J$57","'Sheet1'!$F$32:$F$35","'Sheet1'!$F$32:$F$36"}</definedName>
    <definedName name="ups" localSheetId="0" hidden="1">{"'Sheet1'!$A$1:$J$57","'Sheet1'!$F$32:$F$35","'Sheet1'!$F$32:$F$36"}</definedName>
    <definedName name="견적_최종2" localSheetId="0" hidden="1">{"'Sheet1'!$A$1:$J$57","'Sheet1'!$F$32:$F$35","'Sheet1'!$F$32:$F$36"}</definedName>
    <definedName name="梅兰日兰UPS" localSheetId="0" hidden="1">{"'Sheet1'!$A$1:$J$57","'Sheet1'!$F$32:$F$35","'Sheet1'!$F$32:$F$36"}</definedName>
    <definedName name="ㅅㄴ" localSheetId="0" hidden="1">{"'Sheet1'!$A$1:$J$57","'Sheet1'!$F$32:$F$35","'Sheet1'!$F$32:$F$36"}</definedName>
    <definedName name="总价12" localSheetId="0" hidden="1">{"'Sheet1'!$A$1:$J$57","'Sheet1'!$F$32:$F$35","'Sheet1'!$F$32:$F$36"}</definedName>
    <definedName name="AA" localSheetId="1" hidden="1">{"'Sheet1'!$A$1:$J$57","'Sheet1'!$F$32:$F$35","'Sheet1'!$F$32:$F$36"}</definedName>
    <definedName name="AB" localSheetId="1" hidden="1">{"'Sheet1'!$A$1:$J$57","'Sheet1'!$F$32:$F$35","'Sheet1'!$F$32:$F$36"}</definedName>
    <definedName name="afaga" localSheetId="1" hidden="1">{"'Sheet1'!$A$1:$J$57","'Sheet1'!$F$32:$F$35","'Sheet1'!$F$32:$F$36"}</definedName>
    <definedName name="AG" localSheetId="1" hidden="1">{"'Sheet1'!$A$1:$J$57","'Sheet1'!$F$32:$F$35","'Sheet1'!$F$32:$F$36"}</definedName>
    <definedName name="dddd" localSheetId="1" hidden="1">{"'Sheet1'!$A$1:$J$57","'Sheet1'!$F$32:$F$35","'Sheet1'!$F$32:$F$36"}</definedName>
    <definedName name="html" localSheetId="1" hidden="1">{"'Sheet1'!$A$1:$J$57","'Sheet1'!$F$32:$F$35","'Sheet1'!$F$32:$F$36"}</definedName>
    <definedName name="HTML_Control" localSheetId="1" hidden="1">{"'Sheet1'!$A$1:$J$57","'Sheet1'!$F$32:$F$35","'Sheet1'!$F$32:$F$36"}</definedName>
    <definedName name="HTML1" localSheetId="1" hidden="1">{"'Sheet1'!$A$1:$J$57","'Sheet1'!$F$32:$F$35","'Sheet1'!$F$32:$F$36"}</definedName>
    <definedName name="HTML2" localSheetId="1" hidden="1">{"'Sheet1'!$A$1:$J$57","'Sheet1'!$F$32:$F$35","'Sheet1'!$F$32:$F$36"}</definedName>
    <definedName name="ups" localSheetId="1" hidden="1">{"'Sheet1'!$A$1:$J$57","'Sheet1'!$F$32:$F$35","'Sheet1'!$F$32:$F$36"}</definedName>
    <definedName name="견적_최종2" localSheetId="1" hidden="1">{"'Sheet1'!$A$1:$J$57","'Sheet1'!$F$32:$F$35","'Sheet1'!$F$32:$F$36"}</definedName>
    <definedName name="梅兰日兰UPS" localSheetId="1" hidden="1">{"'Sheet1'!$A$1:$J$57","'Sheet1'!$F$32:$F$35","'Sheet1'!$F$32:$F$36"}</definedName>
    <definedName name="ㅅㄴ" localSheetId="1" hidden="1">{"'Sheet1'!$A$1:$J$57","'Sheet1'!$F$32:$F$35","'Sheet1'!$F$32:$F$36"}</definedName>
    <definedName name="总价12" localSheetId="1" hidden="1">{"'Sheet1'!$A$1:$J$57","'Sheet1'!$F$32:$F$35","'Sheet1'!$F$32:$F$36"}</definedName>
    <definedName name="AA" localSheetId="2" hidden="1">{"'Sheet1'!$A$1:$J$57","'Sheet1'!$F$32:$F$35","'Sheet1'!$F$32:$F$36"}</definedName>
    <definedName name="AB" localSheetId="2" hidden="1">{"'Sheet1'!$A$1:$J$57","'Sheet1'!$F$32:$F$35","'Sheet1'!$F$32:$F$36"}</definedName>
    <definedName name="afaga" localSheetId="2" hidden="1">{"'Sheet1'!$A$1:$J$57","'Sheet1'!$F$32:$F$35","'Sheet1'!$F$32:$F$36"}</definedName>
    <definedName name="AG" localSheetId="2" hidden="1">{"'Sheet1'!$A$1:$J$57","'Sheet1'!$F$32:$F$35","'Sheet1'!$F$32:$F$36"}</definedName>
    <definedName name="dddd" localSheetId="2" hidden="1">{"'Sheet1'!$A$1:$J$57","'Sheet1'!$F$32:$F$35","'Sheet1'!$F$32:$F$36"}</definedName>
    <definedName name="html" localSheetId="2" hidden="1">{"'Sheet1'!$A$1:$J$57","'Sheet1'!$F$32:$F$35","'Sheet1'!$F$32:$F$36"}</definedName>
    <definedName name="HTML_Control" localSheetId="2" hidden="1">{"'Sheet1'!$A$1:$J$57","'Sheet1'!$F$32:$F$35","'Sheet1'!$F$32:$F$36"}</definedName>
    <definedName name="HTML1" localSheetId="2" hidden="1">{"'Sheet1'!$A$1:$J$57","'Sheet1'!$F$32:$F$35","'Sheet1'!$F$32:$F$36"}</definedName>
    <definedName name="HTML2" localSheetId="2" hidden="1">{"'Sheet1'!$A$1:$J$57","'Sheet1'!$F$32:$F$35","'Sheet1'!$F$32:$F$36"}</definedName>
    <definedName name="ups" localSheetId="2" hidden="1">{"'Sheet1'!$A$1:$J$57","'Sheet1'!$F$32:$F$35","'Sheet1'!$F$32:$F$36"}</definedName>
    <definedName name="견적_최종2" localSheetId="2" hidden="1">{"'Sheet1'!$A$1:$J$57","'Sheet1'!$F$32:$F$35","'Sheet1'!$F$32:$F$36"}</definedName>
    <definedName name="梅兰日兰UPS" localSheetId="2" hidden="1">{"'Sheet1'!$A$1:$J$57","'Sheet1'!$F$32:$F$35","'Sheet1'!$F$32:$F$36"}</definedName>
    <definedName name="ㅅㄴ" localSheetId="2" hidden="1">{"'Sheet1'!$A$1:$J$57","'Sheet1'!$F$32:$F$35","'Sheet1'!$F$32:$F$36"}</definedName>
    <definedName name="总价12" localSheetId="2" hidden="1">{"'Sheet1'!$A$1:$J$57","'Sheet1'!$F$32:$F$35","'Sheet1'!$F$32:$F$36"}</definedName>
    <definedName name="AA" localSheetId="3" hidden="1">{"'Sheet1'!$A$1:$J$57","'Sheet1'!$F$32:$F$35","'Sheet1'!$F$32:$F$36"}</definedName>
    <definedName name="AB" localSheetId="3" hidden="1">{"'Sheet1'!$A$1:$J$57","'Sheet1'!$F$32:$F$35","'Sheet1'!$F$32:$F$36"}</definedName>
    <definedName name="afaga" localSheetId="3" hidden="1">{"'Sheet1'!$A$1:$J$57","'Sheet1'!$F$32:$F$35","'Sheet1'!$F$32:$F$36"}</definedName>
    <definedName name="AG" localSheetId="3" hidden="1">{"'Sheet1'!$A$1:$J$57","'Sheet1'!$F$32:$F$35","'Sheet1'!$F$32:$F$36"}</definedName>
    <definedName name="dddd" localSheetId="3" hidden="1">{"'Sheet1'!$A$1:$J$57","'Sheet1'!$F$32:$F$35","'Sheet1'!$F$32:$F$36"}</definedName>
    <definedName name="html" localSheetId="3" hidden="1">{"'Sheet1'!$A$1:$J$57","'Sheet1'!$F$32:$F$35","'Sheet1'!$F$32:$F$36"}</definedName>
    <definedName name="HTML_Control" localSheetId="3" hidden="1">{"'Sheet1'!$A$1:$J$57","'Sheet1'!$F$32:$F$35","'Sheet1'!$F$32:$F$36"}</definedName>
    <definedName name="HTML1" localSheetId="3" hidden="1">{"'Sheet1'!$A$1:$J$57","'Sheet1'!$F$32:$F$35","'Sheet1'!$F$32:$F$36"}</definedName>
    <definedName name="HTML2" localSheetId="3" hidden="1">{"'Sheet1'!$A$1:$J$57","'Sheet1'!$F$32:$F$35","'Sheet1'!$F$32:$F$36"}</definedName>
    <definedName name="ups" localSheetId="3" hidden="1">{"'Sheet1'!$A$1:$J$57","'Sheet1'!$F$32:$F$35","'Sheet1'!$F$32:$F$36"}</definedName>
    <definedName name="견적_최종2" localSheetId="3" hidden="1">{"'Sheet1'!$A$1:$J$57","'Sheet1'!$F$32:$F$35","'Sheet1'!$F$32:$F$36"}</definedName>
    <definedName name="梅兰日兰UPS" localSheetId="3" hidden="1">{"'Sheet1'!$A$1:$J$57","'Sheet1'!$F$32:$F$35","'Sheet1'!$F$32:$F$36"}</definedName>
    <definedName name="ㅅㄴ" localSheetId="3" hidden="1">{"'Sheet1'!$A$1:$J$57","'Sheet1'!$F$32:$F$35","'Sheet1'!$F$32:$F$36"}</definedName>
    <definedName name="总价12" localSheetId="3" hidden="1">{"'Sheet1'!$A$1:$J$57","'Sheet1'!$F$32:$F$35","'Sheet1'!$F$32:$F$36"}</definedName>
    <definedName name="AA" localSheetId="4" hidden="1">{"'Sheet1'!$A$1:$J$57","'Sheet1'!$F$32:$F$35","'Sheet1'!$F$32:$F$36"}</definedName>
    <definedName name="AB" localSheetId="4" hidden="1">{"'Sheet1'!$A$1:$J$57","'Sheet1'!$F$32:$F$35","'Sheet1'!$F$32:$F$36"}</definedName>
    <definedName name="afaga" localSheetId="4" hidden="1">{"'Sheet1'!$A$1:$J$57","'Sheet1'!$F$32:$F$35","'Sheet1'!$F$32:$F$36"}</definedName>
    <definedName name="AG" localSheetId="4" hidden="1">{"'Sheet1'!$A$1:$J$57","'Sheet1'!$F$32:$F$35","'Sheet1'!$F$32:$F$36"}</definedName>
    <definedName name="dddd" localSheetId="4" hidden="1">{"'Sheet1'!$A$1:$J$57","'Sheet1'!$F$32:$F$35","'Sheet1'!$F$32:$F$36"}</definedName>
    <definedName name="html" localSheetId="4" hidden="1">{"'Sheet1'!$A$1:$J$57","'Sheet1'!$F$32:$F$35","'Sheet1'!$F$32:$F$36"}</definedName>
    <definedName name="HTML_Control" localSheetId="4" hidden="1">{"'Sheet1'!$A$1:$J$57","'Sheet1'!$F$32:$F$35","'Sheet1'!$F$32:$F$36"}</definedName>
    <definedName name="HTML1" localSheetId="4" hidden="1">{"'Sheet1'!$A$1:$J$57","'Sheet1'!$F$32:$F$35","'Sheet1'!$F$32:$F$36"}</definedName>
    <definedName name="HTML2" localSheetId="4" hidden="1">{"'Sheet1'!$A$1:$J$57","'Sheet1'!$F$32:$F$35","'Sheet1'!$F$32:$F$36"}</definedName>
    <definedName name="ups" localSheetId="4" hidden="1">{"'Sheet1'!$A$1:$J$57","'Sheet1'!$F$32:$F$35","'Sheet1'!$F$32:$F$36"}</definedName>
    <definedName name="견적_최종2" localSheetId="4" hidden="1">{"'Sheet1'!$A$1:$J$57","'Sheet1'!$F$32:$F$35","'Sheet1'!$F$32:$F$36"}</definedName>
    <definedName name="梅兰日兰UPS" localSheetId="4" hidden="1">{"'Sheet1'!$A$1:$J$57","'Sheet1'!$F$32:$F$35","'Sheet1'!$F$32:$F$36"}</definedName>
    <definedName name="ㅅㄴ" localSheetId="4" hidden="1">{"'Sheet1'!$A$1:$J$57","'Sheet1'!$F$32:$F$35","'Sheet1'!$F$32:$F$36"}</definedName>
    <definedName name="总价12" localSheetId="4" hidden="1">{"'Sheet1'!$A$1:$J$57","'Sheet1'!$F$32:$F$35","'Sheet1'!$F$32:$F$36"}</definedName>
    <definedName name="AA" localSheetId="5" hidden="1">{"'Sheet1'!$A$1:$J$57","'Sheet1'!$F$32:$F$35","'Sheet1'!$F$32:$F$36"}</definedName>
    <definedName name="AB" localSheetId="5" hidden="1">{"'Sheet1'!$A$1:$J$57","'Sheet1'!$F$32:$F$35","'Sheet1'!$F$32:$F$36"}</definedName>
    <definedName name="afaga" localSheetId="5" hidden="1">{"'Sheet1'!$A$1:$J$57","'Sheet1'!$F$32:$F$35","'Sheet1'!$F$32:$F$36"}</definedName>
    <definedName name="AG" localSheetId="5" hidden="1">{"'Sheet1'!$A$1:$J$57","'Sheet1'!$F$32:$F$35","'Sheet1'!$F$32:$F$36"}</definedName>
    <definedName name="dddd" localSheetId="5" hidden="1">{"'Sheet1'!$A$1:$J$57","'Sheet1'!$F$32:$F$35","'Sheet1'!$F$32:$F$36"}</definedName>
    <definedName name="html" localSheetId="5" hidden="1">{"'Sheet1'!$A$1:$J$57","'Sheet1'!$F$32:$F$35","'Sheet1'!$F$32:$F$36"}</definedName>
    <definedName name="HTML_Control" localSheetId="5" hidden="1">{"'Sheet1'!$A$1:$J$57","'Sheet1'!$F$32:$F$35","'Sheet1'!$F$32:$F$36"}</definedName>
    <definedName name="HTML1" localSheetId="5" hidden="1">{"'Sheet1'!$A$1:$J$57","'Sheet1'!$F$32:$F$35","'Sheet1'!$F$32:$F$36"}</definedName>
    <definedName name="HTML2" localSheetId="5" hidden="1">{"'Sheet1'!$A$1:$J$57","'Sheet1'!$F$32:$F$35","'Sheet1'!$F$32:$F$36"}</definedName>
    <definedName name="ups" localSheetId="5" hidden="1">{"'Sheet1'!$A$1:$J$57","'Sheet1'!$F$32:$F$35","'Sheet1'!$F$32:$F$36"}</definedName>
    <definedName name="견적_최종2" localSheetId="5" hidden="1">{"'Sheet1'!$A$1:$J$57","'Sheet1'!$F$32:$F$35","'Sheet1'!$F$32:$F$36"}</definedName>
    <definedName name="梅兰日兰UPS" localSheetId="5" hidden="1">{"'Sheet1'!$A$1:$J$57","'Sheet1'!$F$32:$F$35","'Sheet1'!$F$32:$F$36"}</definedName>
    <definedName name="ㅅㄴ" localSheetId="5" hidden="1">{"'Sheet1'!$A$1:$J$57","'Sheet1'!$F$32:$F$35","'Sheet1'!$F$32:$F$36"}</definedName>
    <definedName name="总价12" localSheetId="5" hidden="1">{"'Sheet1'!$A$1:$J$57","'Sheet1'!$F$32:$F$35","'Sheet1'!$F$32:$F$36"}</definedName>
    <definedName name="AA" localSheetId="6" hidden="1">{"'Sheet1'!$A$1:$J$57","'Sheet1'!$F$32:$F$35","'Sheet1'!$F$32:$F$36"}</definedName>
    <definedName name="AB" localSheetId="6" hidden="1">{"'Sheet1'!$A$1:$J$57","'Sheet1'!$F$32:$F$35","'Sheet1'!$F$32:$F$36"}</definedName>
    <definedName name="afaga" localSheetId="6" hidden="1">{"'Sheet1'!$A$1:$J$57","'Sheet1'!$F$32:$F$35","'Sheet1'!$F$32:$F$36"}</definedName>
    <definedName name="AG" localSheetId="6" hidden="1">{"'Sheet1'!$A$1:$J$57","'Sheet1'!$F$32:$F$35","'Sheet1'!$F$32:$F$36"}</definedName>
    <definedName name="dddd" localSheetId="6" hidden="1">{"'Sheet1'!$A$1:$J$57","'Sheet1'!$F$32:$F$35","'Sheet1'!$F$32:$F$36"}</definedName>
    <definedName name="html" localSheetId="6" hidden="1">{"'Sheet1'!$A$1:$J$57","'Sheet1'!$F$32:$F$35","'Sheet1'!$F$32:$F$36"}</definedName>
    <definedName name="HTML_Control" localSheetId="6" hidden="1">{"'Sheet1'!$A$1:$J$57","'Sheet1'!$F$32:$F$35","'Sheet1'!$F$32:$F$36"}</definedName>
    <definedName name="HTML1" localSheetId="6" hidden="1">{"'Sheet1'!$A$1:$J$57","'Sheet1'!$F$32:$F$35","'Sheet1'!$F$32:$F$36"}</definedName>
    <definedName name="HTML2" localSheetId="6" hidden="1">{"'Sheet1'!$A$1:$J$57","'Sheet1'!$F$32:$F$35","'Sheet1'!$F$32:$F$36"}</definedName>
    <definedName name="ups" localSheetId="6" hidden="1">{"'Sheet1'!$A$1:$J$57","'Sheet1'!$F$32:$F$35","'Sheet1'!$F$32:$F$36"}</definedName>
    <definedName name="견적_최종2" localSheetId="6" hidden="1">{"'Sheet1'!$A$1:$J$57","'Sheet1'!$F$32:$F$35","'Sheet1'!$F$32:$F$36"}</definedName>
    <definedName name="梅兰日兰UPS" localSheetId="6" hidden="1">{"'Sheet1'!$A$1:$J$57","'Sheet1'!$F$32:$F$35","'Sheet1'!$F$32:$F$36"}</definedName>
    <definedName name="ㅅㄴ" localSheetId="6" hidden="1">{"'Sheet1'!$A$1:$J$57","'Sheet1'!$F$32:$F$35","'Sheet1'!$F$32:$F$36"}</definedName>
    <definedName name="总价12" localSheetId="6" hidden="1">{"'Sheet1'!$A$1:$J$57","'Sheet1'!$F$32:$F$35","'Sheet1'!$F$32:$F$36"}</definedName>
  </definedNames>
  <calcPr calcId="191029" fullCalcOnLoad="1"/>
</workbook>
</file>

<file path=xl/styles.xml><?xml version="1.0" encoding="utf-8"?>
<styleSheet xmlns="http://schemas.openxmlformats.org/spreadsheetml/2006/main">
  <numFmts count="29">
    <numFmt numFmtId="164" formatCode="0.0"/>
    <numFmt numFmtId="165" formatCode="_-* #,##0.00_-;&quot;₩&quot;&quot;₩&quot;&quot;₩&quot;\-* #,##0.00_-;_-* &quot;-&quot;??_-;_-@_-"/>
    <numFmt numFmtId="166" formatCode="&quot;₩&quot;&quot;₩&quot;&quot;₩&quot;\$#,##0.00_);&quot;₩&quot;&quot;₩&quot;\(&quot;₩&quot;&quot;₩&quot;&quot;₩&quot;\$#,##0.00&quot;₩&quot;&quot;₩&quot;&quot;₩&quot;\)"/>
    <numFmt numFmtId="167" formatCode="&quot;₩&quot;#,##0.00;[Red]&quot;₩&quot;&quot;₩&quot;&quot;₩&quot;&quot;₩&quot;&quot;₩&quot;&quot;₩&quot;&quot;₩&quot;&quot;₩&quot;&quot;₩&quot;&quot;₩&quot;&quot;₩&quot;\-&quot;₩&quot;#,##0.00"/>
    <numFmt numFmtId="168" formatCode="&quot;₩&quot;#,##0;[Red]&quot;₩&quot;&quot;₩&quot;&quot;₩&quot;&quot;₩&quot;&quot;₩&quot;&quot;₩&quot;&quot;₩&quot;&quot;₩&quot;&quot;₩&quot;\-&quot;₩&quot;#,##0"/>
    <numFmt numFmtId="169" formatCode="_-&quot;₩&quot;* #,##0_-;&quot;₩&quot;&quot;₩&quot;&quot;₩&quot;&quot;₩&quot;&quot;₩&quot;&quot;₩&quot;&quot;₩&quot;&quot;₩&quot;&quot;₩&quot;\-&quot;₩&quot;* #,##0_-;_-&quot;₩&quot;* &quot;-&quot;_-;_-@_-"/>
    <numFmt numFmtId="170" formatCode="_-* #,##0.00_-;&quot;₩&quot;&quot;₩&quot;&quot;₩&quot;&quot;₩&quot;&quot;₩&quot;\-* #,##0.00_-;_-* &quot;-&quot;??_-;_-@_-"/>
    <numFmt numFmtId="171" formatCode="_-* #,##0&quot;₩&quot;\ _D_M_-;&quot;₩&quot;\-* #,##0&quot;₩&quot;\ _D_M_-;_-* &quot;-&quot;&quot;₩&quot;\ _D_M_-;_-@_-"/>
    <numFmt numFmtId="172" formatCode="* #,##0.0"/>
    <numFmt numFmtId="173" formatCode="#,##0.00000"/>
    <numFmt numFmtId="174" formatCode="_ * #,##0_ ;_ * &quot;₩&quot;\-#,##0_ ;_ * &quot;-&quot;??_ ;_ @_ "/>
    <numFmt numFmtId="175" formatCode="0.0%;[Red]&quot;△&quot;0.0%"/>
    <numFmt numFmtId="176" formatCode="0.00000000"/>
    <numFmt numFmtId="177" formatCode="_(&quot;$&quot;* #,##0.0_);_(&quot;$&quot;* \(#,##0.0\);_(&quot;$&quot;* &quot;-&quot;_);_(@_)"/>
    <numFmt numFmtId="178" formatCode="_ * #,##0_ ;_ * \-#,##0_ ;_ * &quot;-&quot;_ ;_ @_ "/>
    <numFmt numFmtId="179" formatCode="_-* #,##0_-;&quot;₩&quot;&quot;₩&quot;&quot;₩&quot;&quot;₩&quot;&quot;₩&quot;&quot;₩&quot;&quot;₩&quot;&quot;₩&quot;&quot;₩&quot;&quot;₩&quot;&quot;₩&quot;&quot;₩&quot;&quot;₩&quot;&quot;₩&quot;\-* #,##0_-;_-* &quot;-&quot;_-;_-@_-"/>
    <numFmt numFmtId="180" formatCode="_ * #,##0.00_ ;_ * \-#,##0.00_ ;_ * &quot;-&quot;??_ ;_ @_ "/>
    <numFmt numFmtId="181" formatCode="_(&quot;$&quot;* #,##0.00_);_(&quot;$&quot;* \(#,##0.00\);_(&quot;$&quot;* &quot;-&quot;??_);_(@_)"/>
    <numFmt numFmtId="182" formatCode="_-&quot;₩&quot;* #,##0.00_-;&quot;₩&quot;&quot;₩&quot;&quot;₩&quot;&quot;₩&quot;&quot;₩&quot;&quot;₩&quot;&quot;₩&quot;&quot;₩&quot;&quot;₩&quot;&quot;₩&quot;&quot;₩&quot;&quot;₩&quot;&quot;₩&quot;&quot;₩&quot;&quot;₩&quot;&quot;₩&quot;\-&quot;₩&quot;* #,##0.00_-;_-&quot;₩&quot;* &quot;-&quot;??_-;_-@_-"/>
    <numFmt numFmtId="183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\-&quot;₩&quot;#,##0"/>
    <numFmt numFmtId="184" formatCode="###,###,"/>
    <numFmt numFmtId="185" formatCode="#,##0_ "/>
    <numFmt numFmtId="186" formatCode="#.##,"/>
    <numFmt numFmtId="187" formatCode="0.00000%"/>
    <numFmt numFmtId="188" formatCode="_ &quot;₩&quot;* #,##0.0000000_ ;_ &quot;₩&quot;* &quot;₩&quot;\-#,##0.0000000_ ;_ &quot;₩&quot;* &quot;-&quot;??_ ;_ @_ "/>
    <numFmt numFmtId="189" formatCode="#,##0;[Red]&quot;△&quot;#,##0"/>
    <numFmt numFmtId="190" formatCode="_ * #,##0.000000_ ;_ * &quot;₩&quot;\-#,##0.000000_ ;_ * &quot;-&quot;??_ ;_ @_ "/>
    <numFmt numFmtId="191" formatCode="#,##0.0"/>
    <numFmt numFmtId="192" formatCode="m&quot;/&quot;d"/>
  </numFmts>
  <fonts count="54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Arial"/>
      <family val="2"/>
      <sz val="10"/>
    </font>
    <font>
      <name val="바탕체"/>
      <charset val="129"/>
      <family val="1"/>
      <sz val="12"/>
    </font>
    <font>
      <name val="MS Sans Serif"/>
      <family val="2"/>
      <sz val="10"/>
    </font>
    <font>
      <name val="Helv"/>
      <family val="2"/>
      <b val="1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Helv"/>
      <family val="2"/>
      <b val="1"/>
      <sz val="11"/>
    </font>
    <font>
      <name val="돋움"/>
      <charset val="129"/>
      <family val="3"/>
      <sz val="8"/>
    </font>
    <font>
      <name val="바탕체"/>
      <charset val="129"/>
      <family val="1"/>
      <sz val="10"/>
    </font>
    <font>
      <name val="돋움"/>
      <charset val="129"/>
      <family val="3"/>
      <sz val="11"/>
    </font>
    <font>
      <name val="바탕체"/>
      <charset val="129"/>
      <family val="1"/>
      <b val="1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color theme="1"/>
      <sz val="11"/>
      <scheme val="minor"/>
    </font>
    <font>
      <name val="Helv"/>
      <family val="2"/>
      <sz val="10"/>
    </font>
    <font>
      <name val="Arial"/>
      <family val="2"/>
      <color indexed="8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HP Logo LG"/>
      <charset val="2"/>
      <sz val="20"/>
    </font>
    <font>
      <name val="Times New Roman"/>
      <family val="1"/>
      <color indexed="12"/>
      <sz val="8"/>
      <u val="single"/>
    </font>
    <font>
      <name val="MS Sans Serif"/>
      <family val="2"/>
      <color indexed="8"/>
      <sz val="10"/>
    </font>
    <font>
      <name val="돋움"/>
      <charset val="129"/>
      <family val="3"/>
      <color indexed="36"/>
      <sz val="11"/>
      <u val="single"/>
    </font>
    <font>
      <name val="뼻뮝"/>
      <charset val="129"/>
      <family val="3"/>
      <sz val="14"/>
    </font>
    <font>
      <name val="뼻뮝"/>
      <charset val="129"/>
      <family val="1"/>
      <sz val="12"/>
    </font>
    <font>
      <name val="명조"/>
      <charset val="129"/>
      <family val="3"/>
      <sz val="10"/>
    </font>
    <font>
      <name val="돋움"/>
      <charset val="129"/>
      <family val="3"/>
      <color indexed="12"/>
      <sz val="11"/>
      <u val="single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sz val="11"/>
      <scheme val="minor"/>
    </font>
    <font>
      <name val="Book Antiqua"/>
      <family val="1"/>
      <b val="1"/>
      <color theme="1"/>
      <sz val="14"/>
    </font>
    <font>
      <name val="맑은 고딕"/>
      <charset val="129"/>
      <family val="3"/>
      <b val="1"/>
      <sz val="28"/>
      <scheme val="minor"/>
    </font>
    <font>
      <name val="맑은 고딕"/>
      <charset val="129"/>
      <family val="3"/>
      <b val="1"/>
      <sz val="24"/>
      <scheme val="minor"/>
    </font>
    <font>
      <name val="맑은 고딕"/>
      <charset val="129"/>
      <family val="3"/>
      <b val="1"/>
      <sz val="22"/>
      <scheme val="minor"/>
    </font>
    <font>
      <name val="맑은 고딕"/>
      <charset val="129"/>
      <family val="3"/>
      <b val="1"/>
      <i val="1"/>
      <sz val="24"/>
      <scheme val="minor"/>
    </font>
    <font>
      <name val="맑은 고딕"/>
      <charset val="129"/>
      <family val="3"/>
      <b val="1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sz val="9"/>
      <scheme val="major"/>
    </font>
  </fonts>
  <fills count="1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29">
    <xf numFmtId="0" fontId="2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165" fontId="20" fillId="0" borderId="0"/>
    <xf numFmtId="166" fontId="20" fillId="0" borderId="0"/>
    <xf numFmtId="0" fontId="12" fillId="0" borderId="0"/>
    <xf numFmtId="0" fontId="10" fillId="0" borderId="0"/>
    <xf numFmtId="0" fontId="13" fillId="0" borderId="0"/>
    <xf numFmtId="167" fontId="20" fillId="0" borderId="0"/>
    <xf numFmtId="167" fontId="20" fillId="0" borderId="0"/>
    <xf numFmtId="168" fontId="20" fillId="0" borderId="0"/>
    <xf numFmtId="168" fontId="20" fillId="0" borderId="0"/>
    <xf numFmtId="169" fontId="20" fillId="0" borderId="0"/>
    <xf numFmtId="169" fontId="20" fillId="0" borderId="0"/>
    <xf numFmtId="38" fontId="14" fillId="2" borderId="0"/>
    <xf numFmtId="0" fontId="15" fillId="0" borderId="0" applyAlignment="1">
      <alignment horizontal="left"/>
    </xf>
    <xf numFmtId="0" fontId="16" fillId="0" borderId="1" applyAlignment="1">
      <alignment horizontal="left" vertical="center"/>
    </xf>
    <xf numFmtId="0" fontId="16" fillId="0" borderId="2" applyAlignment="1">
      <alignment horizontal="left" vertical="center"/>
    </xf>
    <xf numFmtId="10" fontId="14" fillId="2" borderId="3"/>
    <xf numFmtId="0" fontId="17" fillId="0" borderId="4"/>
    <xf numFmtId="170" fontId="20" fillId="0" borderId="0"/>
    <xf numFmtId="170" fontId="20" fillId="0" borderId="0"/>
    <xf numFmtId="10" fontId="10" fillId="0" borderId="0"/>
    <xf numFmtId="0" fontId="17" fillId="0" borderId="0"/>
    <xf numFmtId="0" fontId="10" fillId="0" borderId="0"/>
    <xf numFmtId="0" fontId="20" fillId="0" borderId="0" applyAlignment="1">
      <alignment vertical="center"/>
    </xf>
    <xf numFmtId="0" fontId="22" fillId="0" borderId="0" applyAlignment="1">
      <alignment vertical="center"/>
    </xf>
    <xf numFmtId="0" fontId="27" fillId="0" borderId="0" applyAlignment="1">
      <alignment vertical="center"/>
    </xf>
    <xf numFmtId="0" fontId="20" fillId="0" borderId="0"/>
    <xf numFmtId="0" fontId="28" fillId="0" borderId="0"/>
    <xf numFmtId="0" fontId="10" fillId="0" borderId="0"/>
    <xf numFmtId="0" fontId="11" fillId="0" borderId="0"/>
    <xf numFmtId="0" fontId="11" fillId="0" borderId="0"/>
    <xf numFmtId="0" fontId="28" fillId="0" borderId="0"/>
    <xf numFmtId="0" fontId="10" fillId="0" borderId="0"/>
    <xf numFmtId="0" fontId="11" fillId="0" borderId="0"/>
    <xf numFmtId="0" fontId="28" fillId="0" borderId="0"/>
    <xf numFmtId="9" fontId="10" fillId="4" borderId="0"/>
    <xf numFmtId="0" fontId="20" fillId="0" borderId="0"/>
    <xf numFmtId="171" fontId="20" fillId="0" borderId="0"/>
    <xf numFmtId="172" fontId="20" fillId="0" borderId="0"/>
    <xf numFmtId="173" fontId="20" fillId="0" borderId="0"/>
    <xf numFmtId="174" fontId="20" fillId="0" borderId="0"/>
    <xf numFmtId="175" fontId="20" fillId="0" borderId="0"/>
    <xf numFmtId="176" fontId="20" fillId="0" borderId="0"/>
    <xf numFmtId="171" fontId="2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8" fontId="10" fillId="0" borderId="0"/>
    <xf numFmtId="175" fontId="20" fillId="0" borderId="0"/>
    <xf numFmtId="179" fontId="20" fillId="0" borderId="0"/>
    <xf numFmtId="180" fontId="10" fillId="0" borderId="0"/>
    <xf numFmtId="42" fontId="10" fillId="0" borderId="0"/>
    <xf numFmtId="171" fontId="20" fillId="0" borderId="0"/>
    <xf numFmtId="181" fontId="10" fillId="0" borderId="0"/>
    <xf numFmtId="182" fontId="20" fillId="0" borderId="0"/>
    <xf numFmtId="14" fontId="29" fillId="0" borderId="0"/>
    <xf numFmtId="38" fontId="12" fillId="0" borderId="8" applyAlignment="1">
      <alignment vertical="center"/>
    </xf>
    <xf numFmtId="183" fontId="20" fillId="0" borderId="0"/>
    <xf numFmtId="175" fontId="20" fillId="0" borderId="0"/>
    <xf numFmtId="171" fontId="20" fillId="0" borderId="0"/>
    <xf numFmtId="175" fontId="20" fillId="0" borderId="0"/>
    <xf numFmtId="176" fontId="20" fillId="0" borderId="0"/>
    <xf numFmtId="171" fontId="20" fillId="0" borderId="0"/>
    <xf numFmtId="38" fontId="14" fillId="5" borderId="0"/>
    <xf numFmtId="0" fontId="30" fillId="0" borderId="9"/>
    <xf numFmtId="0" fontId="14" fillId="0" borderId="9" applyAlignment="1">
      <alignment horizontal="center" vertical="center"/>
    </xf>
    <xf numFmtId="0" fontId="31" fillId="0" borderId="9" applyAlignment="1">
      <alignment horizontal="center" vertical="center"/>
    </xf>
    <xf numFmtId="0" fontId="16" fillId="0" borderId="7" applyAlignment="1">
      <alignment horizontal="left" vertical="center"/>
    </xf>
    <xf numFmtId="0" fontId="32" fillId="0" borderId="9" applyAlignment="1">
      <alignment horizontal="center" vertical="center"/>
    </xf>
    <xf numFmtId="0" fontId="33" fillId="0" borderId="0" applyAlignment="1" applyProtection="1">
      <alignment vertical="top"/>
      <protection locked="0" hidden="0"/>
    </xf>
    <xf numFmtId="10" fontId="14" fillId="6" borderId="3"/>
    <xf numFmtId="184" fontId="20" fillId="0" borderId="0"/>
    <xf numFmtId="185" fontId="20" fillId="0" borderId="0"/>
    <xf numFmtId="175" fontId="20" fillId="0" borderId="0"/>
    <xf numFmtId="171" fontId="20" fillId="0" borderId="0"/>
    <xf numFmtId="175" fontId="20" fillId="0" borderId="0"/>
    <xf numFmtId="176" fontId="20" fillId="0" borderId="0"/>
    <xf numFmtId="171" fontId="20" fillId="0" borderId="0"/>
    <xf numFmtId="186" fontId="20" fillId="0" borderId="0"/>
    <xf numFmtId="0" fontId="10" fillId="0" borderId="0"/>
    <xf numFmtId="174" fontId="20" fillId="0" borderId="0"/>
    <xf numFmtId="187" fontId="20" fillId="0" borderId="0"/>
    <xf numFmtId="188" fontId="20" fillId="0" borderId="0"/>
    <xf numFmtId="175" fontId="20" fillId="0" borderId="0"/>
    <xf numFmtId="171" fontId="20" fillId="0" borderId="0"/>
    <xf numFmtId="175" fontId="20" fillId="0" borderId="0"/>
    <xf numFmtId="176" fontId="20" fillId="0" borderId="0"/>
    <xf numFmtId="171" fontId="20" fillId="0" borderId="0"/>
    <xf numFmtId="9" fontId="34" fillId="0" borderId="0"/>
    <xf numFmtId="0" fontId="20" fillId="0" borderId="0"/>
    <xf numFmtId="0" fontId="34" fillId="0" borderId="0"/>
    <xf numFmtId="49" fontId="29" fillId="0" borderId="0"/>
    <xf numFmtId="188" fontId="20" fillId="0" borderId="0"/>
    <xf numFmtId="189" fontId="20" fillId="0" borderId="0"/>
    <xf numFmtId="190" fontId="20" fillId="0" borderId="0"/>
    <xf numFmtId="191" fontId="20" fillId="0" borderId="0"/>
    <xf numFmtId="0" fontId="35" fillId="0" borderId="0" applyAlignment="1" applyProtection="1">
      <alignment vertical="top"/>
      <protection locked="0" hidden="0"/>
    </xf>
    <xf numFmtId="40" fontId="36" fillId="0" borderId="0"/>
    <xf numFmtId="38" fontId="36" fillId="0" borderId="0"/>
    <xf numFmtId="0" fontId="36" fillId="0" borderId="0"/>
    <xf numFmtId="0" fontId="36" fillId="0" borderId="0"/>
    <xf numFmtId="9" fontId="27" fillId="0" borderId="0" applyAlignment="1">
      <alignment vertical="center"/>
    </xf>
    <xf numFmtId="9" fontId="20" fillId="0" borderId="0"/>
    <xf numFmtId="0" fontId="37" fillId="0" borderId="0"/>
    <xf numFmtId="41" fontId="27" fillId="0" borderId="0" applyAlignment="1">
      <alignment vertical="center"/>
    </xf>
    <xf numFmtId="41" fontId="20" fillId="0" borderId="0"/>
    <xf numFmtId="0" fontId="28" fillId="0" borderId="0"/>
    <xf numFmtId="0" fontId="38" fillId="0" borderId="10"/>
    <xf numFmtId="192" fontId="11" fillId="0" borderId="0"/>
    <xf numFmtId="0" fontId="11" fillId="0" borderId="0"/>
    <xf numFmtId="178" fontId="11" fillId="0" borderId="0"/>
    <xf numFmtId="180" fontId="11" fillId="0" borderId="0"/>
    <xf numFmtId="181" fontId="10" fillId="0" borderId="0"/>
    <xf numFmtId="42" fontId="20" fillId="0" borderId="0"/>
    <xf numFmtId="42" fontId="20" fillId="0" borderId="0"/>
    <xf numFmtId="42" fontId="10" fillId="0" borderId="0"/>
    <xf numFmtId="0" fontId="27" fillId="0" borderId="0" applyAlignment="1">
      <alignment vertical="center"/>
    </xf>
    <xf numFmtId="0" fontId="20" fillId="0" borderId="0"/>
    <xf numFmtId="0" fontId="22" fillId="0" borderId="0" applyAlignment="1">
      <alignment vertical="center"/>
    </xf>
    <xf numFmtId="0" fontId="27" fillId="0" borderId="0" applyAlignment="1">
      <alignment vertical="center"/>
    </xf>
    <xf numFmtId="0" fontId="20" fillId="0" borderId="0"/>
    <xf numFmtId="0" fontId="27" fillId="0" borderId="0" applyAlignment="1">
      <alignment vertical="center"/>
    </xf>
    <xf numFmtId="0" fontId="10" fillId="0" borderId="0"/>
    <xf numFmtId="0" fontId="39" fillId="0" borderId="0" applyAlignment="1" applyProtection="1">
      <alignment vertical="top"/>
      <protection locked="0" hidden="0"/>
    </xf>
    <xf numFmtId="0" fontId="10" fillId="0" borderId="0"/>
    <xf numFmtId="0" fontId="10" fillId="0" borderId="0"/>
    <xf numFmtId="10" fontId="14" fillId="6" borderId="11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167" fontId="20" fillId="0" borderId="0"/>
    <xf numFmtId="168" fontId="20" fillId="0" borderId="0"/>
    <xf numFmtId="169" fontId="20" fillId="0" borderId="0"/>
    <xf numFmtId="10" fontId="14" fillId="2" borderId="11"/>
    <xf numFmtId="170" fontId="20" fillId="0" borderId="0"/>
    <xf numFmtId="0" fontId="20" fillId="0" borderId="0" applyAlignment="1">
      <alignment vertical="center"/>
    </xf>
    <xf numFmtId="0" fontId="27" fillId="0" borderId="0" applyAlignment="1">
      <alignment vertical="center"/>
    </xf>
    <xf numFmtId="0" fontId="20" fillId="0" borderId="0"/>
    <xf numFmtId="0" fontId="20" fillId="0" borderId="0"/>
    <xf numFmtId="171" fontId="20" fillId="0" borderId="0"/>
    <xf numFmtId="172" fontId="20" fillId="0" borderId="0"/>
    <xf numFmtId="173" fontId="20" fillId="0" borderId="0"/>
    <xf numFmtId="174" fontId="20" fillId="0" borderId="0"/>
    <xf numFmtId="175" fontId="20" fillId="0" borderId="0"/>
    <xf numFmtId="176" fontId="20" fillId="0" borderId="0"/>
    <xf numFmtId="171" fontId="20" fillId="0" borderId="0"/>
    <xf numFmtId="175" fontId="20" fillId="0" borderId="0"/>
    <xf numFmtId="179" fontId="20" fillId="0" borderId="0"/>
    <xf numFmtId="171" fontId="20" fillId="0" borderId="0"/>
    <xf numFmtId="182" fontId="20" fillId="0" borderId="0"/>
    <xf numFmtId="183" fontId="20" fillId="0" borderId="0"/>
    <xf numFmtId="175" fontId="20" fillId="0" borderId="0"/>
    <xf numFmtId="171" fontId="20" fillId="0" borderId="0"/>
    <xf numFmtId="175" fontId="20" fillId="0" borderId="0"/>
    <xf numFmtId="176" fontId="20" fillId="0" borderId="0"/>
    <xf numFmtId="171" fontId="20" fillId="0" borderId="0"/>
    <xf numFmtId="10" fontId="14" fillId="6" borderId="11"/>
    <xf numFmtId="175" fontId="20" fillId="0" borderId="0"/>
    <xf numFmtId="171" fontId="20" fillId="0" borderId="0"/>
    <xf numFmtId="175" fontId="20" fillId="0" borderId="0"/>
    <xf numFmtId="176" fontId="20" fillId="0" borderId="0"/>
    <xf numFmtId="171" fontId="20" fillId="0" borderId="0"/>
    <xf numFmtId="186" fontId="20" fillId="0" borderId="0"/>
    <xf numFmtId="174" fontId="20" fillId="0" borderId="0"/>
    <xf numFmtId="187" fontId="20" fillId="0" borderId="0"/>
    <xf numFmtId="175" fontId="20" fillId="0" borderId="0"/>
    <xf numFmtId="171" fontId="20" fillId="0" borderId="0"/>
    <xf numFmtId="175" fontId="20" fillId="0" borderId="0"/>
    <xf numFmtId="176" fontId="20" fillId="0" borderId="0"/>
    <xf numFmtId="171" fontId="20" fillId="0" borderId="0"/>
    <xf numFmtId="0" fontId="20" fillId="0" borderId="0"/>
    <xf numFmtId="188" fontId="20" fillId="0" borderId="0"/>
    <xf numFmtId="189" fontId="20" fillId="0" borderId="0"/>
    <xf numFmtId="9" fontId="27" fillId="0" borderId="0" applyAlignment="1">
      <alignment vertical="center"/>
    </xf>
    <xf numFmtId="9" fontId="20" fillId="0" borderId="0"/>
    <xf numFmtId="41" fontId="27" fillId="0" borderId="0" applyAlignment="1">
      <alignment vertical="center"/>
    </xf>
    <xf numFmtId="41" fontId="20" fillId="0" borderId="0"/>
    <xf numFmtId="42" fontId="20" fillId="0" borderId="0"/>
    <xf numFmtId="42" fontId="20" fillId="0" borderId="0"/>
    <xf numFmtId="0" fontId="27" fillId="0" borderId="0" applyAlignment="1">
      <alignment vertical="center"/>
    </xf>
    <xf numFmtId="0" fontId="20" fillId="0" borderId="0"/>
    <xf numFmtId="0" fontId="27" fillId="0" borderId="0" applyAlignment="1">
      <alignment vertical="center"/>
    </xf>
    <xf numFmtId="0" fontId="2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9" fontId="27" fillId="0" borderId="0" applyAlignment="1">
      <alignment vertical="center"/>
    </xf>
    <xf numFmtId="41" fontId="27" fillId="0" borderId="0" applyAlignment="1">
      <alignment vertical="center"/>
    </xf>
    <xf numFmtId="41" fontId="20" fillId="0" borderId="0"/>
    <xf numFmtId="42" fontId="20" fillId="0" borderId="0"/>
    <xf numFmtId="42" fontId="2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9" fontId="27" fillId="0" borderId="0" applyAlignment="1">
      <alignment vertical="center"/>
    </xf>
    <xf numFmtId="41" fontId="27" fillId="0" borderId="0" applyAlignment="1">
      <alignment vertical="center"/>
    </xf>
    <xf numFmtId="41" fontId="20" fillId="0" borderId="0"/>
    <xf numFmtId="42" fontId="20" fillId="0" borderId="0"/>
    <xf numFmtId="42" fontId="2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0" fillId="0" borderId="0"/>
    <xf numFmtId="0" fontId="20" fillId="0" borderId="0" applyAlignment="1">
      <alignment vertical="center"/>
    </xf>
  </cellStyleXfs>
  <cellXfs count="148">
    <xf numFmtId="0" fontId="0" fillId="0" borderId="0" pivotButton="0" quotePrefix="0" xfId="0"/>
    <xf numFmtId="0" fontId="19" fillId="0" borderId="0" pivotButton="0" quotePrefix="0" xfId="0"/>
    <xf numFmtId="0" fontId="19" fillId="0" borderId="3" pivotButton="0" quotePrefix="0" xfId="0"/>
    <xf numFmtId="0" fontId="21" fillId="3" borderId="3" applyAlignment="1" pivotButton="0" quotePrefix="0" xfId="0">
      <alignment horizontal="center"/>
    </xf>
    <xf numFmtId="0" fontId="21" fillId="3" borderId="3" pivotButton="0" quotePrefix="0" xfId="0"/>
    <xf numFmtId="0" fontId="26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14" fontId="25" fillId="0" borderId="0" applyAlignment="1" pivotButton="0" quotePrefix="0" xfId="0">
      <alignment horizontal="center" vertical="center" wrapText="1"/>
    </xf>
    <xf numFmtId="14" fontId="25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48" fillId="8" borderId="12" applyAlignment="1" pivotButton="0" quotePrefix="0" xfId="0">
      <alignment horizontal="center" vertical="center" wrapText="1"/>
    </xf>
    <xf numFmtId="0" fontId="48" fillId="8" borderId="28" applyAlignment="1" pivotButton="0" quotePrefix="0" xfId="0">
      <alignment horizontal="center" vertical="center" wrapText="1"/>
    </xf>
    <xf numFmtId="0" fontId="48" fillId="8" borderId="31" applyAlignment="1" pivotButton="0" quotePrefix="0" xfId="0">
      <alignment horizontal="center" vertical="center" wrapText="1"/>
    </xf>
    <xf numFmtId="0" fontId="47" fillId="0" borderId="4" applyAlignment="1" pivotButton="0" quotePrefix="0" xfId="0">
      <alignment horizontal="right" vertical="center" wrapText="1"/>
    </xf>
    <xf numFmtId="14" fontId="25" fillId="0" borderId="4" applyAlignment="1" pivotButton="0" quotePrefix="0" xfId="0">
      <alignment vertical="center" wrapText="1"/>
    </xf>
    <xf numFmtId="0" fontId="25" fillId="0" borderId="4" applyAlignment="1" pivotButton="0" quotePrefix="0" xfId="0">
      <alignment vertical="center" wrapText="1"/>
    </xf>
    <xf numFmtId="0" fontId="25" fillId="0" borderId="4" applyAlignment="1" pivotButton="0" quotePrefix="0" xfId="0">
      <alignment horizontal="right" wrapText="1"/>
    </xf>
    <xf numFmtId="0" fontId="25" fillId="0" borderId="4" applyAlignment="1" pivotButton="0" quotePrefix="0" xfId="0">
      <alignment wrapText="1"/>
    </xf>
    <xf numFmtId="0" fontId="25" fillId="0" borderId="4" applyAlignment="1" pivotButton="0" quotePrefix="0" xfId="0">
      <alignment horizontal="left" wrapText="1"/>
    </xf>
    <xf numFmtId="14" fontId="25" fillId="0" borderId="4" applyAlignment="1" pivotButton="0" quotePrefix="0" xfId="0">
      <alignment horizontal="left" wrapText="1"/>
    </xf>
    <xf numFmtId="0" fontId="49" fillId="0" borderId="11" applyAlignment="1" pivotButton="0" quotePrefix="0" xfId="0">
      <alignment horizontal="center" vertical="center" wrapText="1"/>
    </xf>
    <xf numFmtId="0" fontId="48" fillId="8" borderId="30" applyAlignment="1" pivotButton="0" quotePrefix="0" xfId="0">
      <alignment horizontal="center" vertical="center" wrapText="1"/>
    </xf>
    <xf numFmtId="0" fontId="25" fillId="0" borderId="4" applyAlignment="1" pivotButton="0" quotePrefix="0" xfId="0">
      <alignment horizontal="center" vertical="center" wrapText="1"/>
    </xf>
    <xf numFmtId="0" fontId="41" fillId="7" borderId="0" applyAlignment="1" pivotButton="0" quotePrefix="0" xfId="226">
      <alignment vertical="center"/>
    </xf>
    <xf numFmtId="0" fontId="1" fillId="0" borderId="0" applyAlignment="1" pivotButton="0" quotePrefix="0" xfId="226">
      <alignment vertical="center"/>
    </xf>
    <xf numFmtId="0" fontId="42" fillId="0" borderId="0" applyAlignment="1" pivotButton="0" quotePrefix="0" xfId="226">
      <alignment vertical="center"/>
    </xf>
    <xf numFmtId="0" fontId="41" fillId="7" borderId="0" applyAlignment="1" pivotButton="0" quotePrefix="0" xfId="226">
      <alignment vertical="center"/>
    </xf>
    <xf numFmtId="0" fontId="43" fillId="7" borderId="0" applyAlignment="1" pivotButton="0" quotePrefix="0" xfId="226">
      <alignment horizontal="right"/>
    </xf>
    <xf numFmtId="0" fontId="44" fillId="7" borderId="0" applyAlignment="1" pivotButton="0" quotePrefix="0" xfId="226">
      <alignment horizontal="right" vertical="center"/>
    </xf>
    <xf numFmtId="0" fontId="45" fillId="7" borderId="0" applyAlignment="1" pivotButton="0" quotePrefix="0" xfId="226">
      <alignment horizontal="right" vertical="center"/>
    </xf>
    <xf numFmtId="0" fontId="46" fillId="7" borderId="0" applyAlignment="1" pivotButton="0" quotePrefix="0" xfId="226">
      <alignment horizontal="right" vertical="center"/>
    </xf>
    <xf numFmtId="0" fontId="23" fillId="7" borderId="0" applyAlignment="1" pivotButton="0" quotePrefix="0" xfId="226">
      <alignment horizontal="left" vertical="center"/>
    </xf>
    <xf numFmtId="0" fontId="23" fillId="7" borderId="0" applyAlignment="1" pivotButton="0" quotePrefix="0" xfId="226">
      <alignment horizontal="center" vertical="center"/>
    </xf>
    <xf numFmtId="0" fontId="24" fillId="0" borderId="0" applyAlignment="1" pivotButton="0" quotePrefix="0" xfId="226">
      <alignment vertical="center"/>
    </xf>
    <xf numFmtId="0" fontId="25" fillId="0" borderId="0" applyAlignment="1" pivotButton="0" quotePrefix="0" xfId="226">
      <alignment horizontal="center" vertical="center" wrapText="1"/>
    </xf>
    <xf numFmtId="0" fontId="41" fillId="0" borderId="0" applyAlignment="1" pivotButton="0" quotePrefix="0" xfId="226">
      <alignment horizontal="center" vertical="center"/>
    </xf>
    <xf numFmtId="0" fontId="25" fillId="0" borderId="0" applyAlignment="1" pivotButton="0" quotePrefix="0" xfId="226">
      <alignment horizontal="center" vertical="center"/>
    </xf>
    <xf numFmtId="0" fontId="49" fillId="0" borderId="11" applyAlignment="1" pivotButton="0" quotePrefix="0" xfId="0">
      <alignment horizontal="left" vertical="center" wrapText="1"/>
    </xf>
    <xf numFmtId="14" fontId="49" fillId="0" borderId="11" applyAlignment="1" pivotButton="0" quotePrefix="0" xfId="0">
      <alignment horizontal="center" vertical="center" wrapText="1"/>
    </xf>
    <xf numFmtId="0" fontId="49" fillId="0" borderId="11" applyAlignment="1" pivotButton="0" quotePrefix="0" xfId="0">
      <alignment horizontal="center" vertical="center" wrapText="1"/>
    </xf>
    <xf numFmtId="0" fontId="51" fillId="0" borderId="11" applyAlignment="1" pivotButton="0" quotePrefix="0" xfId="227">
      <alignment horizontal="center" vertical="center" wrapText="1"/>
    </xf>
    <xf numFmtId="0" fontId="51" fillId="9" borderId="11" applyAlignment="1" pivotButton="0" quotePrefix="0" xfId="228">
      <alignment horizontal="center" vertical="center" wrapText="1"/>
    </xf>
    <xf numFmtId="0" fontId="51" fillId="0" borderId="11" applyAlignment="1" pivotButton="0" quotePrefix="0" xfId="227">
      <alignment vertical="center" wrapText="1"/>
    </xf>
    <xf numFmtId="0" fontId="26" fillId="0" borderId="11" applyAlignment="1" pivotButton="0" quotePrefix="0" xfId="0">
      <alignment vertical="center" wrapText="1"/>
    </xf>
    <xf numFmtId="0" fontId="26" fillId="0" borderId="11" applyAlignment="1" pivotButton="0" quotePrefix="0" xfId="0">
      <alignment horizontal="left" vertical="center" wrapText="1"/>
    </xf>
    <xf numFmtId="0" fontId="52" fillId="0" borderId="11" applyAlignment="1" pivotButton="0" quotePrefix="0" xfId="227">
      <alignment vertical="center" wrapText="1"/>
    </xf>
    <xf numFmtId="0" fontId="51" fillId="0" borderId="11" applyAlignment="1" pivotButton="0" quotePrefix="0" xfId="192">
      <alignment horizontal="center" vertical="center" wrapText="1"/>
    </xf>
    <xf numFmtId="0" fontId="53" fillId="0" borderId="11" applyAlignment="1" pivotButton="0" quotePrefix="0" xfId="0">
      <alignment horizontal="center" vertical="center" wrapText="1"/>
    </xf>
    <xf numFmtId="0" fontId="49" fillId="9" borderId="11" applyAlignment="1" pivotButton="0" quotePrefix="0" xfId="0">
      <alignment horizontal="center" vertical="center" wrapText="1"/>
    </xf>
    <xf numFmtId="0" fontId="49" fillId="0" borderId="11" applyAlignment="1" pivotButton="0" quotePrefix="0" xfId="0">
      <alignment horizontal="left" vertical="center" wrapText="1"/>
    </xf>
    <xf numFmtId="0" fontId="49" fillId="0" borderId="11" applyAlignment="1" pivotButton="0" quotePrefix="0" xfId="0">
      <alignment horizontal="left" vertical="top" wrapText="1"/>
    </xf>
    <xf numFmtId="0" fontId="49" fillId="0" borderId="11" applyAlignment="1" pivotButton="0" quotePrefix="1" xfId="0">
      <alignment horizontal="left" vertical="top" wrapText="1"/>
    </xf>
    <xf numFmtId="0" fontId="49" fillId="0" borderId="11" applyAlignment="1" pivotButton="0" quotePrefix="1" xfId="0">
      <alignment horizontal="left" vertical="top" wrapText="1"/>
    </xf>
    <xf numFmtId="0" fontId="49" fillId="0" borderId="11" applyAlignment="1" pivotButton="0" quotePrefix="0" xfId="0">
      <alignment horizontal="left" vertical="top" wrapText="1"/>
    </xf>
    <xf numFmtId="0" fontId="52" fillId="0" borderId="11" applyAlignment="1" pivotButton="0" quotePrefix="0" xfId="192">
      <alignment horizontal="center" vertical="center" wrapText="1"/>
    </xf>
    <xf numFmtId="0" fontId="26" fillId="0" borderId="11" applyAlignment="1" pivotButton="0" quotePrefix="0" xfId="0">
      <alignment horizontal="center" vertical="center" wrapText="1"/>
    </xf>
    <xf numFmtId="0" fontId="48" fillId="8" borderId="32" applyAlignment="1" pivotButton="0" quotePrefix="0" xfId="0">
      <alignment horizontal="center" vertical="center" wrapText="1"/>
    </xf>
    <xf numFmtId="0" fontId="48" fillId="8" borderId="33" applyAlignment="1" pivotButton="0" quotePrefix="0" xfId="0">
      <alignment horizontal="center" vertical="center" wrapText="1"/>
    </xf>
    <xf numFmtId="0" fontId="48" fillId="8" borderId="34" applyAlignment="1" pivotButton="0" quotePrefix="0" xfId="0">
      <alignment horizontal="center" vertical="center" wrapText="1"/>
    </xf>
    <xf numFmtId="0" fontId="48" fillId="8" borderId="35" applyAlignment="1" pivotButton="0" quotePrefix="0" xfId="0">
      <alignment horizontal="center" vertical="center" wrapText="1"/>
    </xf>
    <xf numFmtId="0" fontId="49" fillId="0" borderId="24" applyAlignment="1" pivotButton="0" quotePrefix="0" xfId="0">
      <alignment horizontal="center" vertical="center" wrapText="1"/>
    </xf>
    <xf numFmtId="0" fontId="49" fillId="9" borderId="6" applyAlignment="1" pivotButton="0" quotePrefix="0" xfId="0">
      <alignment horizontal="center" vertical="center" wrapText="1"/>
    </xf>
    <xf numFmtId="0" fontId="49" fillId="0" borderId="36" applyAlignment="1" pivotButton="0" quotePrefix="0" xfId="0">
      <alignment horizontal="left" vertical="center" wrapText="1"/>
    </xf>
    <xf numFmtId="0" fontId="49" fillId="0" borderId="36" applyAlignment="1" pivotButton="0" quotePrefix="0" xfId="0">
      <alignment horizontal="left" vertical="top" wrapText="1"/>
    </xf>
    <xf numFmtId="0" fontId="53" fillId="0" borderId="36" applyAlignment="1" pivotButton="0" quotePrefix="0" xfId="0">
      <alignment horizontal="left" vertical="center" wrapText="1"/>
    </xf>
    <xf numFmtId="0" fontId="53" fillId="0" borderId="36" applyAlignment="1" pivotButton="0" quotePrefix="0" xfId="0">
      <alignment horizontal="left" vertical="top" wrapText="1"/>
    </xf>
    <xf numFmtId="0" fontId="53" fillId="0" borderId="11" applyAlignment="1" pivotButton="0" quotePrefix="1" xfId="0">
      <alignment horizontal="left" vertical="top" wrapText="1"/>
    </xf>
    <xf numFmtId="0" fontId="53" fillId="0" borderId="24" applyAlignment="1" pivotButton="0" quotePrefix="0" xfId="0">
      <alignment horizontal="center" vertical="center" wrapText="1"/>
    </xf>
    <xf numFmtId="164" fontId="26" fillId="0" borderId="24" applyAlignment="1" pivotButton="0" quotePrefix="0" xfId="226">
      <alignment horizontal="center" vertical="center" wrapText="1"/>
    </xf>
    <xf numFmtId="164" fontId="26" fillId="0" borderId="6" applyAlignment="1" pivotButton="0" quotePrefix="0" xfId="226">
      <alignment horizontal="center" vertical="center" wrapText="1"/>
    </xf>
    <xf numFmtId="0" fontId="24" fillId="0" borderId="5" applyAlignment="1" pivotButton="0" quotePrefix="0" xfId="226">
      <alignment horizontal="center" vertical="center"/>
    </xf>
    <xf numFmtId="0" fontId="24" fillId="0" borderId="6" applyAlignment="1" pivotButton="0" quotePrefix="0" xfId="226">
      <alignment horizontal="center" vertical="center"/>
    </xf>
    <xf numFmtId="0" fontId="24" fillId="0" borderId="5" applyAlignment="1" pivotButton="0" quotePrefix="0" xfId="226">
      <alignment vertical="center" wrapText="1"/>
    </xf>
    <xf numFmtId="0" fontId="24" fillId="0" borderId="7" applyAlignment="1" pivotButton="0" quotePrefix="0" xfId="226">
      <alignment vertical="center" wrapText="1"/>
    </xf>
    <xf numFmtId="0" fontId="24" fillId="0" borderId="25" applyAlignment="1" pivotButton="0" quotePrefix="0" xfId="226">
      <alignment vertical="center" wrapText="1"/>
    </xf>
    <xf numFmtId="14" fontId="24" fillId="0" borderId="26" applyAlignment="1" pivotButton="0" quotePrefix="0" xfId="226">
      <alignment horizontal="center" vertical="center"/>
    </xf>
    <xf numFmtId="14" fontId="24" fillId="0" borderId="27" applyAlignment="1" pivotButton="0" quotePrefix="0" xfId="226">
      <alignment horizontal="center" vertical="center"/>
    </xf>
    <xf numFmtId="0" fontId="25" fillId="0" borderId="12" applyAlignment="1" pivotButton="0" quotePrefix="0" xfId="226">
      <alignment horizontal="center" vertical="center" wrapText="1"/>
    </xf>
    <xf numFmtId="0" fontId="25" fillId="0" borderId="28" applyAlignment="1" pivotButton="0" quotePrefix="0" xfId="226">
      <alignment horizontal="center" vertical="center" wrapText="1"/>
    </xf>
    <xf numFmtId="0" fontId="41" fillId="0" borderId="29" applyAlignment="1" pivotButton="0" quotePrefix="0" xfId="226">
      <alignment horizontal="center" vertical="center"/>
    </xf>
    <xf numFmtId="0" fontId="41" fillId="0" borderId="28" applyAlignment="1" pivotButton="0" quotePrefix="0" xfId="226">
      <alignment horizontal="center" vertical="center"/>
    </xf>
    <xf numFmtId="0" fontId="41" fillId="0" borderId="29" applyAlignment="1" pivotButton="0" quotePrefix="0" xfId="226">
      <alignment vertical="center" wrapText="1"/>
    </xf>
    <xf numFmtId="0" fontId="41" fillId="0" borderId="13" applyAlignment="1" pivotButton="0" quotePrefix="0" xfId="226">
      <alignment vertical="center" wrapText="1"/>
    </xf>
    <xf numFmtId="0" fontId="41" fillId="0" borderId="14" applyAlignment="1" pivotButton="0" quotePrefix="0" xfId="226">
      <alignment vertical="center" wrapText="1"/>
    </xf>
    <xf numFmtId="14" fontId="25" fillId="0" borderId="15" applyAlignment="1" pivotButton="0" quotePrefix="0" xfId="226">
      <alignment horizontal="center" vertical="center"/>
    </xf>
    <xf numFmtId="14" fontId="25" fillId="0" borderId="16" applyAlignment="1" pivotButton="0" quotePrefix="0" xfId="226">
      <alignment horizontal="center" vertical="center"/>
    </xf>
    <xf numFmtId="0" fontId="26" fillId="0" borderId="5" applyAlignment="1" pivotButton="0" quotePrefix="0" xfId="226">
      <alignment horizontal="center" vertical="center"/>
    </xf>
    <xf numFmtId="0" fontId="26" fillId="0" borderId="6" applyAlignment="1" pivotButton="0" quotePrefix="0" xfId="226">
      <alignment horizontal="center" vertical="center"/>
    </xf>
    <xf numFmtId="14" fontId="26" fillId="0" borderId="26" applyAlignment="1" pivotButton="0" quotePrefix="0" xfId="226">
      <alignment horizontal="center" vertical="center"/>
    </xf>
    <xf numFmtId="14" fontId="26" fillId="0" borderId="27" applyAlignment="1" pivotButton="0" quotePrefix="0" xfId="226">
      <alignment horizontal="center" vertical="center"/>
    </xf>
    <xf numFmtId="0" fontId="26" fillId="0" borderId="5" applyAlignment="1" pivotButton="0" quotePrefix="0" xfId="226">
      <alignment vertical="center" wrapText="1"/>
    </xf>
    <xf numFmtId="0" fontId="26" fillId="0" borderId="7" applyAlignment="1" pivotButton="0" quotePrefix="0" xfId="226">
      <alignment vertical="center" wrapText="1"/>
    </xf>
    <xf numFmtId="0" fontId="26" fillId="0" borderId="25" applyAlignment="1" pivotButton="0" quotePrefix="0" xfId="226">
      <alignment vertical="center" wrapText="1"/>
    </xf>
    <xf numFmtId="14" fontId="23" fillId="7" borderId="0" applyAlignment="1" pivotButton="0" quotePrefix="0" xfId="226">
      <alignment horizontal="center" vertical="center"/>
    </xf>
    <xf numFmtId="0" fontId="23" fillId="7" borderId="0" applyAlignment="1" pivotButton="0" quotePrefix="0" xfId="226">
      <alignment horizontal="center" vertical="center"/>
    </xf>
    <xf numFmtId="0" fontId="23" fillId="0" borderId="0" applyAlignment="1" pivotButton="0" quotePrefix="0" xfId="226">
      <alignment horizontal="center" vertical="center"/>
    </xf>
    <xf numFmtId="164" fontId="41" fillId="8" borderId="17" applyAlignment="1" pivotButton="0" quotePrefix="0" xfId="226">
      <alignment horizontal="center" vertical="center" wrapText="1"/>
    </xf>
    <xf numFmtId="164" fontId="41" fillId="8" borderId="18" applyAlignment="1" pivotButton="0" quotePrefix="0" xfId="226">
      <alignment horizontal="center" vertical="center" wrapText="1"/>
    </xf>
    <xf numFmtId="0" fontId="41" fillId="8" borderId="19" applyAlignment="1" pivotButton="0" quotePrefix="0" xfId="226">
      <alignment horizontal="center" vertical="center"/>
    </xf>
    <xf numFmtId="0" fontId="41" fillId="8" borderId="18" applyAlignment="1" pivotButton="0" quotePrefix="0" xfId="226">
      <alignment horizontal="center" vertical="center"/>
    </xf>
    <xf numFmtId="0" fontId="41" fillId="8" borderId="20" applyAlignment="1" pivotButton="0" quotePrefix="0" xfId="226">
      <alignment horizontal="center" vertical="center"/>
    </xf>
    <xf numFmtId="0" fontId="41" fillId="8" borderId="21" applyAlignment="1" pivotButton="0" quotePrefix="0" xfId="226">
      <alignment horizontal="center" vertical="center"/>
    </xf>
    <xf numFmtId="0" fontId="41" fillId="8" borderId="22" applyAlignment="1" pivotButton="0" quotePrefix="0" xfId="226">
      <alignment horizontal="center" vertical="center"/>
    </xf>
    <xf numFmtId="0" fontId="41" fillId="8" borderId="23" applyAlignment="1" pivotButton="0" quotePrefix="0" xfId="226">
      <alignment horizontal="center" vertical="center"/>
    </xf>
    <xf numFmtId="0" fontId="50" fillId="8" borderId="5" applyAlignment="1" pivotButton="0" quotePrefix="0" xfId="0">
      <alignment horizontal="center" vertical="center" wrapText="1"/>
    </xf>
    <xf numFmtId="0" fontId="50" fillId="8" borderId="7" applyAlignment="1" pivotButton="0" quotePrefix="0" xfId="0">
      <alignment horizontal="center" vertical="center" wrapText="1"/>
    </xf>
    <xf numFmtId="0" fontId="50" fillId="8" borderId="6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50" fillId="0" borderId="4" applyAlignment="1" pivotButton="0" quotePrefix="0" xfId="0">
      <alignment horizontal="left" wrapText="1"/>
    </xf>
    <xf numFmtId="0" fontId="50" fillId="8" borderId="11" applyAlignment="1" pivotButton="0" quotePrefix="0" xfId="0">
      <alignment horizontal="center" vertical="center" wrapText="1"/>
    </xf>
    <xf numFmtId="164" fontId="41" fillId="8" borderId="37" applyAlignment="1" pivotButton="0" quotePrefix="0" xfId="226">
      <alignment horizontal="center" vertical="center" wrapText="1"/>
    </xf>
    <xf numFmtId="0" fontId="0" fillId="0" borderId="40" pivotButton="0" quotePrefix="0" xfId="0"/>
    <xf numFmtId="0" fontId="41" fillId="8" borderId="41" applyAlignment="1" pivotButton="0" quotePrefix="0" xfId="226">
      <alignment horizontal="center" vertical="center"/>
    </xf>
    <xf numFmtId="0" fontId="0" fillId="0" borderId="42" pivotButton="0" quotePrefix="0" xfId="0"/>
    <xf numFmtId="0" fontId="41" fillId="8" borderId="43" applyAlignment="1" pivotButton="0" quotePrefix="0" xfId="226">
      <alignment horizontal="center" vertical="center"/>
    </xf>
    <xf numFmtId="0" fontId="0" fillId="0" borderId="45" pivotButton="0" quotePrefix="0" xfId="0"/>
    <xf numFmtId="0" fontId="0" fillId="0" borderId="21" pivotButton="0" quotePrefix="0" xfId="0"/>
    <xf numFmtId="0" fontId="41" fillId="8" borderId="46" applyAlignment="1" pivotButton="0" quotePrefix="0" xfId="226">
      <alignment horizontal="center" vertical="center"/>
    </xf>
    <xf numFmtId="0" fontId="0" fillId="0" borderId="23" pivotButton="0" quotePrefix="0" xfId="0"/>
    <xf numFmtId="164" fontId="26" fillId="0" borderId="48" applyAlignment="1" pivotButton="0" quotePrefix="0" xfId="226">
      <alignment horizontal="center" vertical="center" wrapText="1"/>
    </xf>
    <xf numFmtId="0" fontId="0" fillId="0" borderId="51" pivotButton="0" quotePrefix="0" xfId="0"/>
    <xf numFmtId="0" fontId="26" fillId="0" borderId="3" applyAlignment="1" pivotButton="0" quotePrefix="0" xfId="226">
      <alignment horizontal="center" vertical="center"/>
    </xf>
    <xf numFmtId="0" fontId="0" fillId="0" borderId="6" pivotButton="0" quotePrefix="0" xfId="0"/>
    <xf numFmtId="0" fontId="26" fillId="0" borderId="54" applyAlignment="1" pivotButton="0" quotePrefix="0" xfId="226">
      <alignment vertical="center" wrapText="1"/>
    </xf>
    <xf numFmtId="0" fontId="0" fillId="0" borderId="2" pivotButton="0" quotePrefix="0" xfId="0"/>
    <xf numFmtId="0" fontId="0" fillId="0" borderId="56" pivotButton="0" quotePrefix="0" xfId="0"/>
    <xf numFmtId="14" fontId="26" fillId="0" borderId="57" applyAlignment="1" pivotButton="0" quotePrefix="0" xfId="226">
      <alignment horizontal="center" vertical="center"/>
    </xf>
    <xf numFmtId="0" fontId="0" fillId="0" borderId="27" pivotButton="0" quotePrefix="0" xfId="0"/>
    <xf numFmtId="0" fontId="24" fillId="0" borderId="54" applyAlignment="1" pivotButton="0" quotePrefix="0" xfId="226">
      <alignment vertical="center" wrapText="1"/>
    </xf>
    <xf numFmtId="0" fontId="24" fillId="0" borderId="3" applyAlignment="1" pivotButton="0" quotePrefix="0" xfId="226">
      <alignment horizontal="center" vertical="center"/>
    </xf>
    <xf numFmtId="14" fontId="24" fillId="0" borderId="57" applyAlignment="1" pivotButton="0" quotePrefix="0" xfId="226">
      <alignment horizontal="center" vertical="center"/>
    </xf>
    <xf numFmtId="0" fontId="25" fillId="0" borderId="59" applyAlignment="1" pivotButton="0" quotePrefix="0" xfId="226">
      <alignment horizontal="center" vertical="center" wrapText="1"/>
    </xf>
    <xf numFmtId="0" fontId="0" fillId="0" borderId="61" pivotButton="0" quotePrefix="0" xfId="0"/>
    <xf numFmtId="0" fontId="41" fillId="0" borderId="62" applyAlignment="1" pivotButton="0" quotePrefix="0" xfId="226">
      <alignment horizontal="center" vertical="center"/>
    </xf>
    <xf numFmtId="0" fontId="0" fillId="0" borderId="28" pivotButton="0" quotePrefix="0" xfId="0"/>
    <xf numFmtId="0" fontId="41" fillId="0" borderId="63" applyAlignment="1" pivotButton="0" quotePrefix="0" xfId="226">
      <alignment vertical="center" wrapText="1"/>
    </xf>
    <xf numFmtId="0" fontId="0" fillId="0" borderId="65" pivotButton="0" quotePrefix="0" xfId="0"/>
    <xf numFmtId="0" fontId="0" fillId="0" borderId="66" pivotButton="0" quotePrefix="0" xfId="0"/>
    <xf numFmtId="14" fontId="25" fillId="0" borderId="67" applyAlignment="1" pivotButton="0" quotePrefix="0" xfId="226">
      <alignment horizontal="center" vertical="center"/>
    </xf>
    <xf numFmtId="0" fontId="0" fillId="0" borderId="16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8" pivotButton="0" quotePrefix="0" xfId="0"/>
    <xf numFmtId="0" fontId="50" fillId="8" borderId="3" applyAlignment="1" pivotButton="0" quotePrefix="0" xfId="0">
      <alignment horizontal="center" vertical="center" wrapText="1"/>
    </xf>
  </cellXfs>
  <cellStyles count="229">
    <cellStyle name="표준" xfId="0" builtinId="0"/>
    <cellStyle name="_dimensions(1)" xfId="1"/>
    <cellStyle name="_엑셀문서표준_양식(세로)" xfId="2"/>
    <cellStyle name="_요구사항추적매트릭스(CS)_보기" xfId="3"/>
    <cellStyle name="_요구사항추적표(웹)_양식" xfId="4"/>
    <cellStyle name="_통합테스트빌드목록" xfId="5"/>
    <cellStyle name="_회의록관리대장_#.업무영역명" xfId="6"/>
    <cellStyle name="AeE­ [0]_PERSONAL" xfId="7"/>
    <cellStyle name="AeE­_PERSONAL" xfId="8"/>
    <cellStyle name="ALIGNMENT" xfId="9"/>
    <cellStyle name="C￥AØ_PERSONAL" xfId="10"/>
    <cellStyle name="category" xfId="11"/>
    <cellStyle name="comma zerodec" xfId="12"/>
    <cellStyle name="comma zerodec 2" xfId="13"/>
    <cellStyle name="Currency1" xfId="14"/>
    <cellStyle name="Currency1 2" xfId="15"/>
    <cellStyle name="Dollar (zero dec)" xfId="16"/>
    <cellStyle name="Dollar (zero dec) 2" xfId="17"/>
    <cellStyle name="Grey" xfId="18"/>
    <cellStyle name="HEADER" xfId="19"/>
    <cellStyle name="Header1" xfId="20"/>
    <cellStyle name="Header2" xfId="21"/>
    <cellStyle name="Input [yellow]" xfId="22"/>
    <cellStyle name="Model" xfId="23"/>
    <cellStyle name="Normal - Style1" xfId="24"/>
    <cellStyle name="Normal - Style1 2" xfId="25"/>
    <cellStyle name="Percent [2]" xfId="26"/>
    <cellStyle name="subhead" xfId="27"/>
    <cellStyle name="스타일 1" xfId="28"/>
    <cellStyle name="표준 2" xfId="29"/>
    <cellStyle name="표준 2 2" xfId="30"/>
    <cellStyle name="표준 5" xfId="31"/>
    <cellStyle name="_x000a_386grabber=M" xfId="32"/>
    <cellStyle name="_0223_해운대구청(LH6000)" xfId="33"/>
    <cellStyle name="_Book1" xfId="34"/>
    <cellStyle name="_WebCash_KDB_2thDevelop_20020618" xfId="35"/>
    <cellStyle name="_견적(RP5405)" xfId="36"/>
    <cellStyle name="_러시앤캐시 개발비용_20070320" xfId="37"/>
    <cellStyle name="_러시앤캐시(20070321)_1안" xfId="38"/>
    <cellStyle name="_부산은행 HP견적" xfId="39"/>
    <cellStyle name="_하드웨어세부견적서_모음" xfId="40"/>
    <cellStyle name="=C:\WINDOWS\SYSTEM32\COMMAND.COM" xfId="41"/>
    <cellStyle name="Calc Currency (0)" xfId="42"/>
    <cellStyle name="Calc Currency (2)" xfId="43"/>
    <cellStyle name="Calc Percent (0)" xfId="44"/>
    <cellStyle name="Calc Percent (1)" xfId="45"/>
    <cellStyle name="Calc Percent (2)" xfId="46"/>
    <cellStyle name="Calc Units (0)" xfId="47"/>
    <cellStyle name="Calc Units (1)" xfId="48"/>
    <cellStyle name="Calc Units (2)" xfId="49"/>
    <cellStyle name="Comma  - Style1" xfId="50"/>
    <cellStyle name="Comma  - Style2" xfId="51"/>
    <cellStyle name="Comma  - Style3" xfId="52"/>
    <cellStyle name="Comma  - Style4" xfId="53"/>
    <cellStyle name="Comma  - Style5" xfId="54"/>
    <cellStyle name="Comma  - Style6" xfId="55"/>
    <cellStyle name="Comma  - Style7" xfId="56"/>
    <cellStyle name="Comma  - Style8" xfId="57"/>
    <cellStyle name="Comma [0]_ SG&amp;A Bridge " xfId="58"/>
    <cellStyle name="Comma [00]" xfId="59"/>
    <cellStyle name="comma zerodec 3" xfId="60"/>
    <cellStyle name="Comma_ SG&amp;A Bridge " xfId="61"/>
    <cellStyle name="Currency [0]_ SG&amp;A Bridge " xfId="62"/>
    <cellStyle name="Currency [00]" xfId="63"/>
    <cellStyle name="Currency_ SG&amp;A Bridge " xfId="64"/>
    <cellStyle name="Currency1 3" xfId="65"/>
    <cellStyle name="Date Short" xfId="66"/>
    <cellStyle name="DELTA" xfId="67"/>
    <cellStyle name="Dollar (zero dec) 3" xfId="68"/>
    <cellStyle name="Enter Currency (0)" xfId="69"/>
    <cellStyle name="Enter Currency (2)" xfId="70"/>
    <cellStyle name="Enter Units (0)" xfId="71"/>
    <cellStyle name="Enter Units (1)" xfId="72"/>
    <cellStyle name="Enter Units (2)" xfId="73"/>
    <cellStyle name="Grey 2" xfId="74"/>
    <cellStyle name="Header 1" xfId="75"/>
    <cellStyle name="Header 2" xfId="76"/>
    <cellStyle name="Header Center" xfId="77"/>
    <cellStyle name="Header2 2" xfId="78"/>
    <cellStyle name="HP Logo" xfId="79"/>
    <cellStyle name="Hyperlink" xfId="80"/>
    <cellStyle name="Input [yellow] 2" xfId="81"/>
    <cellStyle name="Komma [0]_BINV" xfId="82"/>
    <cellStyle name="Komma_BINV" xfId="83"/>
    <cellStyle name="Link Currency (0)" xfId="84"/>
    <cellStyle name="Link Currency (2)" xfId="85"/>
    <cellStyle name="Link Units (0)" xfId="86"/>
    <cellStyle name="Link Units (1)" xfId="87"/>
    <cellStyle name="Link Units (2)" xfId="88"/>
    <cellStyle name="Normal - Style1 3" xfId="89"/>
    <cellStyle name="Normal_ SG&amp;A Bridge " xfId="90"/>
    <cellStyle name="Percent [0]" xfId="91"/>
    <cellStyle name="Percent [00]" xfId="92"/>
    <cellStyle name="Percent_#6 Temps &amp; Contractors" xfId="93"/>
    <cellStyle name="PrePop Currency (0)" xfId="94"/>
    <cellStyle name="PrePop Currency (2)" xfId="95"/>
    <cellStyle name="PrePop Units (0)" xfId="96"/>
    <cellStyle name="PrePop Units (1)" xfId="97"/>
    <cellStyle name="PrePop Units (2)" xfId="98"/>
    <cellStyle name="Procent_BINV" xfId="99"/>
    <cellStyle name="PropertyBorder" xfId="100"/>
    <cellStyle name="Standaard_BINV" xfId="101"/>
    <cellStyle name="Text Indent A" xfId="102"/>
    <cellStyle name="Text Indent B" xfId="103"/>
    <cellStyle name="Text Indent C" xfId="104"/>
    <cellStyle name="Valuta [0]_BINV" xfId="105"/>
    <cellStyle name="Valuta_BINV" xfId="106"/>
    <cellStyle name="뒤에 오는 하이퍼링크_PERSONAL" xfId="107"/>
    <cellStyle name="똿뗦먛귟 [0.00]_PRODUCT DETAIL Q1" xfId="108"/>
    <cellStyle name="똿뗦먛귟_PRODUCT DETAIL Q1" xfId="109"/>
    <cellStyle name="믅됞 [0.00]_PRODUCT DETAIL Q1" xfId="110"/>
    <cellStyle name="믅됞_PRODUCT DETAIL Q1" xfId="111"/>
    <cellStyle name="백분율 2" xfId="112"/>
    <cellStyle name="백분율 3" xfId="113"/>
    <cellStyle name="뷭?_BOOKSHIP" xfId="114"/>
    <cellStyle name="쉼표 [0] 2" xfId="115"/>
    <cellStyle name="쉼표 [0] 3" xfId="116"/>
    <cellStyle name="스타일 1 2" xfId="117"/>
    <cellStyle name="안건회계법인" xfId="118"/>
    <cellStyle name="원" xfId="119"/>
    <cellStyle name="지정되지 않음" xfId="120"/>
    <cellStyle name="콤마 [0]_(980121-$33,662)" xfId="121"/>
    <cellStyle name="콤마_(980121-$33,662)" xfId="122"/>
    <cellStyle name="通貨 [0.00]_PERSONAL" xfId="123"/>
    <cellStyle name="통화 [0] 2" xfId="124"/>
    <cellStyle name="통화 [0] 3" xfId="125"/>
    <cellStyle name="通貨_PERSONAL" xfId="126"/>
    <cellStyle name="표준 2 4" xfId="127"/>
    <cellStyle name="표준 2 2 2" xfId="128"/>
    <cellStyle name="표준 2 3" xfId="129"/>
    <cellStyle name="표준 3" xfId="130"/>
    <cellStyle name="표준 3 2" xfId="131"/>
    <cellStyle name="표준 4" xfId="132"/>
    <cellStyle name="標準_PERSONAL" xfId="133"/>
    <cellStyle name="하이퍼링크 2" xfId="134"/>
    <cellStyle name="桁区切り [0.00]_PERSONAL" xfId="135"/>
    <cellStyle name="桁区切り_PERSONAL" xfId="136"/>
    <cellStyle name="Input [yellow] 3" xfId="137"/>
    <cellStyle name="표준 6" xfId="138"/>
    <cellStyle name="표준 7" xfId="139"/>
    <cellStyle name="표준 7 3" xfId="140"/>
    <cellStyle name="표준 7 2" xfId="141"/>
    <cellStyle name="comma zerodec 2 2" xfId="142"/>
    <cellStyle name="Currency1 2 2" xfId="143"/>
    <cellStyle name="Dollar (zero dec) 2 2" xfId="144"/>
    <cellStyle name="Input [yellow] 4" xfId="145"/>
    <cellStyle name="Normal - Style1 2 2" xfId="146"/>
    <cellStyle name="표준 2 5" xfId="147"/>
    <cellStyle name="표준 5 2" xfId="148"/>
    <cellStyle name="_x000a_386grabber=M 2" xfId="149"/>
    <cellStyle name="Calc Currency (0) 2" xfId="150"/>
    <cellStyle name="Calc Currency (2) 2" xfId="151"/>
    <cellStyle name="Calc Percent (0) 2" xfId="152"/>
    <cellStyle name="Calc Percent (1) 2" xfId="153"/>
    <cellStyle name="Calc Percent (2) 2" xfId="154"/>
    <cellStyle name="Calc Units (0) 2" xfId="155"/>
    <cellStyle name="Calc Units (1) 2" xfId="156"/>
    <cellStyle name="Calc Units (2) 2" xfId="157"/>
    <cellStyle name="Comma [00] 2" xfId="158"/>
    <cellStyle name="comma zerodec 3 2" xfId="159"/>
    <cellStyle name="Currency [00] 2" xfId="160"/>
    <cellStyle name="Currency1 3 2" xfId="161"/>
    <cellStyle name="Dollar (zero dec) 3 2" xfId="162"/>
    <cellStyle name="Enter Currency (0) 2" xfId="163"/>
    <cellStyle name="Enter Currency (2) 2" xfId="164"/>
    <cellStyle name="Enter Units (0) 2" xfId="165"/>
    <cellStyle name="Enter Units (1) 2" xfId="166"/>
    <cellStyle name="Enter Units (2) 2" xfId="167"/>
    <cellStyle name="Input [yellow] 2 2" xfId="168"/>
    <cellStyle name="Link Currency (0) 2" xfId="169"/>
    <cellStyle name="Link Currency (2) 2" xfId="170"/>
    <cellStyle name="Link Units (0) 2" xfId="171"/>
    <cellStyle name="Link Units (1) 2" xfId="172"/>
    <cellStyle name="Link Units (2) 2" xfId="173"/>
    <cellStyle name="Normal - Style1 3 2" xfId="174"/>
    <cellStyle name="Percent [0] 2" xfId="175"/>
    <cellStyle name="Percent [00] 2" xfId="176"/>
    <cellStyle name="PrePop Currency (0) 2" xfId="177"/>
    <cellStyle name="PrePop Currency (2) 2" xfId="178"/>
    <cellStyle name="PrePop Units (0) 2" xfId="179"/>
    <cellStyle name="PrePop Units (1) 2" xfId="180"/>
    <cellStyle name="PrePop Units (2) 2" xfId="181"/>
    <cellStyle name="PropertyBorder 2" xfId="182"/>
    <cellStyle name="Text Indent B 2" xfId="183"/>
    <cellStyle name="Text Indent C 2" xfId="184"/>
    <cellStyle name="백분율 2 2" xfId="185"/>
    <cellStyle name="백분율 3 2" xfId="186"/>
    <cellStyle name="쉼표 [0] 2 2" xfId="187"/>
    <cellStyle name="쉼표 [0] 3 2" xfId="188"/>
    <cellStyle name="통화 [0] 2 2" xfId="189"/>
    <cellStyle name="통화 [0] 3 2" xfId="190"/>
    <cellStyle name="표준 2 4 2" xfId="191"/>
    <cellStyle name="표준 2 2 2 2" xfId="192"/>
    <cellStyle name="표준 3 3" xfId="193"/>
    <cellStyle name="표준 3 2 2" xfId="194"/>
    <cellStyle name="표준 4 2" xfId="195"/>
    <cellStyle name="표준 6 2" xfId="196"/>
    <cellStyle name="표준 7 4" xfId="197"/>
    <cellStyle name="표준 7 5" xfId="198"/>
    <cellStyle name="표준 7 5 2" xfId="199"/>
    <cellStyle name="표준 5 3" xfId="200"/>
    <cellStyle name="백분율 2 3" xfId="201"/>
    <cellStyle name="쉼표 [0] 2 3" xfId="202"/>
    <cellStyle name="쉼표 [0] 3 3" xfId="203"/>
    <cellStyle name="통화 [0] 2 3" xfId="204"/>
    <cellStyle name="통화 [0] 3 3" xfId="205"/>
    <cellStyle name="표준 2 4 3" xfId="206"/>
    <cellStyle name="표준 3 4" xfId="207"/>
    <cellStyle name="표준 4 3" xfId="208"/>
    <cellStyle name="표준 6 3" xfId="209"/>
    <cellStyle name="표준 7 6" xfId="210"/>
    <cellStyle name="표준 7 3 2" xfId="211"/>
    <cellStyle name="표준 7 2 2" xfId="212"/>
    <cellStyle name="표준 5 2 2" xfId="213"/>
    <cellStyle name="백분율 2 2 2" xfId="214"/>
    <cellStyle name="쉼표 [0] 2 2 2" xfId="215"/>
    <cellStyle name="쉼표 [0] 3 2 2" xfId="216"/>
    <cellStyle name="통화 [0] 2 2 2" xfId="217"/>
    <cellStyle name="통화 [0] 3 2 2" xfId="218"/>
    <cellStyle name="표준 2 4 2 2" xfId="219"/>
    <cellStyle name="표준 3 3 2" xfId="220"/>
    <cellStyle name="표준 4 2 2" xfId="221"/>
    <cellStyle name="표준 6 2 2" xfId="222"/>
    <cellStyle name="표준 7 4 2" xfId="223"/>
    <cellStyle name="표준 7 5 3" xfId="224"/>
    <cellStyle name="표준 7 5 2 2" xfId="225"/>
    <cellStyle name="표준 7 5 4" xfId="226"/>
    <cellStyle name="표준_요구사항정의서_마켓플레이스" xfId="227"/>
    <cellStyle name="표준_01.요구사항정의서_고객관리" xfId="228"/>
  </cellStyles>
  <dxfs count="222"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37437055574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ont>
        <i val="1"/>
      </font>
      <fill>
        <patternFill>
          <bgColor theme="0" tint="-0.1498764000366222"/>
        </patternFill>
      </fill>
    </dxf>
    <dxf>
      <font>
        <b val="1"/>
      </font>
      <fill>
        <patternFill patternType="gray0625">
          <bgColor rgb="FFFFFFCC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ont>
        <i val="1"/>
      </font>
      <fill>
        <patternFill>
          <bgColor theme="0" tint="-0.1498764000366222"/>
        </patternFill>
      </fill>
    </dxf>
    <dxf>
      <font>
        <b val="1"/>
      </font>
      <fill>
        <patternFill patternType="gray0625">
          <bgColor rgb="FFFFFFCC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ont>
        <i val="1"/>
      </font>
      <fill>
        <patternFill>
          <bgColor theme="0" tint="-0.149876400036622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876400036622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06918546098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06918546098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  <dxf>
      <font>
        <i val="1"/>
      </font>
      <fill>
        <patternFill>
          <bgColor theme="0" tint="-0.1499679555650502"/>
        </patternFill>
      </fill>
    </dxf>
    <dxf>
      <font>
        <b val="1"/>
      </font>
      <fill>
        <patternFill patternType="gray0625">
          <bgColor rgb="FFFFFFCC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0</col>
      <colOff>33618</colOff>
      <row>48</row>
      <rowOff>114300</rowOff>
    </from>
    <to>
      <col>11</col>
      <colOff>671793</colOff>
      <row>48</row>
      <rowOff>180975</rowOff>
    </to>
    <pic>
      <nvPicPr>
        <cNvPr id="2" name="그림 1" descr="바닥라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380" y="14811375"/>
          <a:ext cx="9610725" cy="666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33618</colOff>
      <row>15</row>
      <rowOff>324971</rowOff>
    </from>
    <to>
      <col>11</col>
      <colOff>671793</colOff>
      <row>15</row>
      <rowOff>391646</rowOff>
    </to>
    <pic>
      <nvPicPr>
        <cNvPr id="5" name="그림 4" descr="바닥라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380" y="7144871"/>
          <a:ext cx="9610725" cy="666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10</col>
      <colOff>409575</colOff>
      <row>15</row>
      <rowOff>447675</rowOff>
    </from>
    <to>
      <col>11</col>
      <colOff>654571</colOff>
      <row>15</row>
      <rowOff>665169</rowOff>
    </to>
    <pic>
      <nvPicPr>
        <cNvPr id="7" name="그림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629650" y="7267575"/>
          <a:ext cx="992708" cy="2174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409575</colOff>
      <row>49</row>
      <rowOff>47625</rowOff>
    </from>
    <to>
      <col>11</col>
      <colOff>654571</colOff>
      <row>49</row>
      <rowOff>268929</rowOff>
    </to>
    <pic>
      <nvPicPr>
        <cNvPr id="8" name="그림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8629650" y="14963775"/>
          <a:ext cx="992708" cy="2213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pageBreakPreview" zoomScaleNormal="100" zoomScaleSheetLayoutView="100" workbookViewId="0">
      <selection activeCell="N3" sqref="N3"/>
    </sheetView>
  </sheetViews>
  <sheetFormatPr baseColWidth="8" defaultColWidth="8.9140625" defaultRowHeight="17"/>
  <cols>
    <col width="8.25" customWidth="1" style="28" min="1" max="1"/>
    <col width="8.75" customWidth="1" style="28" min="2" max="2"/>
    <col width="7" customWidth="1" style="28" min="3" max="3"/>
    <col width="8" customWidth="1" style="28" min="4" max="4"/>
    <col width="18.75" customWidth="1" style="28" min="5" max="5"/>
    <col width="8.9140625" customWidth="1" style="28" min="6" max="7"/>
    <col width="11.33203125" bestFit="1" customWidth="1" style="28" min="8" max="8"/>
    <col width="13.9140625" customWidth="1" style="28" min="9" max="9"/>
    <col width="7.33203125" customWidth="1" style="28" min="10" max="10"/>
    <col width="9.25" customWidth="1" style="28" min="11" max="11"/>
    <col width="11.25" customWidth="1" style="28" min="12" max="12"/>
    <col width="8.9140625" customWidth="1" style="28" min="13" max="16384"/>
  </cols>
  <sheetData>
    <row r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</row>
    <row r="2" ht="18" customHeight="1">
      <c r="A2" s="30" t="n"/>
      <c r="B2" s="29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</row>
    <row r="3" ht="135.75" customHeight="1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1" t="inlineStr">
        <is>
          <t>요구사항정의서</t>
        </is>
      </c>
    </row>
    <row r="4" ht="56.25" customHeight="1">
      <c r="A4" s="30" t="n"/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2" t="inlineStr">
        <is>
          <t>유티아이 베트남</t>
        </is>
      </c>
    </row>
    <row r="5" ht="33.5" customHeight="1">
      <c r="A5" s="30" t="n"/>
      <c r="B5" s="30" t="n"/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3" t="n"/>
    </row>
    <row r="6" ht="17.25" customHeight="1">
      <c r="A6" s="30" t="n"/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</row>
    <row r="7" ht="3.75" customHeight="1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</row>
    <row r="8" ht="10.5" customHeight="1">
      <c r="A8" s="30" t="n"/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</row>
    <row r="9" ht="36" customHeight="1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4" t="n"/>
    </row>
    <row r="10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</row>
    <row r="12" ht="104.25" customHeight="1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</row>
    <row r="13" ht="21" customHeight="1">
      <c r="A13" s="35" t="n"/>
      <c r="B13" s="35" t="n"/>
      <c r="C13" s="35" t="n"/>
      <c r="D13" s="97" t="inlineStr">
        <is>
          <t>2026.04.15</t>
        </is>
      </c>
    </row>
    <row r="14" ht="10.5" customHeight="1">
      <c r="A14" s="98" t="n"/>
    </row>
    <row r="15" ht="41.25" customHeight="1">
      <c r="A15" s="98" t="n"/>
      <c r="B15" s="98" t="n"/>
      <c r="C15" s="98" t="n"/>
      <c r="D15" s="98" t="inlineStr">
        <is>
          <t>그룹웨어 구축 TFT</t>
        </is>
      </c>
    </row>
    <row r="16" ht="55.5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</row>
    <row r="19" ht="17.25" customHeight="1">
      <c r="A19" s="99" t="inlineStr">
        <is>
          <t>제/개 정 이 력</t>
        </is>
      </c>
    </row>
    <row r="20" ht="17.5" customHeight="1" thickBot="1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</row>
    <row r="21" ht="30" customHeight="1">
      <c r="A21" s="114" t="inlineStr">
        <is>
          <t>개정번호</t>
        </is>
      </c>
      <c r="B21" s="115" t="n"/>
      <c r="C21" s="116" t="inlineStr">
        <is>
          <t>작성자</t>
        </is>
      </c>
      <c r="D21" s="117" t="n"/>
      <c r="E21" s="118" t="inlineStr">
        <is>
          <t>제/개정 페이지 및 내용</t>
        </is>
      </c>
      <c r="F21" s="119" t="n"/>
      <c r="G21" s="119" t="n"/>
      <c r="H21" s="119" t="n"/>
      <c r="I21" s="119" t="n"/>
      <c r="J21" s="120" t="n"/>
      <c r="K21" s="121" t="inlineStr">
        <is>
          <t>제/개정일자</t>
        </is>
      </c>
      <c r="L21" s="122" t="n"/>
    </row>
    <row r="22">
      <c r="A22" s="123" t="n">
        <v>1</v>
      </c>
      <c r="B22" s="124" t="n"/>
      <c r="C22" s="125" t="inlineStr">
        <is>
          <t>박민수</t>
        </is>
      </c>
      <c r="D22" s="126" t="n"/>
      <c r="E22" s="127" t="inlineStr">
        <is>
          <t>최초 작성</t>
        </is>
      </c>
      <c r="F22" s="128" t="n"/>
      <c r="G22" s="128" t="n"/>
      <c r="H22" s="128" t="n"/>
      <c r="I22" s="128" t="n"/>
      <c r="J22" s="129" t="n"/>
      <c r="K22" s="130" t="n">
        <v>43797</v>
      </c>
      <c r="L22" s="131" t="n"/>
    </row>
    <row r="23">
      <c r="A23" s="123" t="n">
        <v>1.2</v>
      </c>
      <c r="B23" s="124" t="n"/>
      <c r="C23" s="125" t="inlineStr">
        <is>
          <t>박민수</t>
        </is>
      </c>
      <c r="D23" s="126" t="n"/>
      <c r="E23" s="127" t="inlineStr">
        <is>
          <t>요구사항 정의서와 요구사항 정의서 통합</t>
        </is>
      </c>
      <c r="F23" s="128" t="n"/>
      <c r="G23" s="128" t="n"/>
      <c r="H23" s="128" t="n"/>
      <c r="I23" s="128" t="n"/>
      <c r="J23" s="129" t="n"/>
      <c r="K23" s="130" t="inlineStr">
        <is>
          <t>20YY-MM-DD</t>
        </is>
      </c>
      <c r="L23" s="131" t="n"/>
    </row>
    <row r="24">
      <c r="A24" s="123" t="n">
        <v>1.3</v>
      </c>
      <c r="B24" s="124" t="n"/>
      <c r="C24" s="125" t="inlineStr">
        <is>
          <t>이철한</t>
        </is>
      </c>
      <c r="D24" s="126" t="n"/>
      <c r="E24" s="127" t="inlineStr">
        <is>
          <t>요구사항정의서를 감리대비 선택사항으로 변경, 요구사항정의서와 분리</t>
        </is>
      </c>
      <c r="F24" s="128" t="n"/>
      <c r="G24" s="128" t="n"/>
      <c r="H24" s="128" t="n"/>
      <c r="I24" s="128" t="n"/>
      <c r="J24" s="129" t="n"/>
      <c r="K24" s="130" t="n">
        <v>44967</v>
      </c>
      <c r="L24" s="131" t="n"/>
    </row>
    <row r="25">
      <c r="A25" s="123" t="n">
        <v>1.4</v>
      </c>
      <c r="B25" s="124" t="n"/>
      <c r="C25" s="125" t="inlineStr">
        <is>
          <t>AX파트</t>
        </is>
      </c>
      <c r="D25" s="126" t="n"/>
      <c r="E25" s="127" t="inlineStr">
        <is>
          <t>모듈명 수정/추가, Teams Add-in(PC) 내용 추가</t>
        </is>
      </c>
      <c r="F25" s="128" t="n"/>
      <c r="G25" s="128" t="n"/>
      <c r="H25" s="128" t="n"/>
      <c r="I25" s="128" t="n"/>
      <c r="J25" s="129" t="n"/>
      <c r="K25" s="130" t="n">
        <v>46009</v>
      </c>
      <c r="L25" s="131" t="n"/>
    </row>
    <row r="26">
      <c r="A26" s="123" t="n">
        <v>1.5</v>
      </c>
      <c r="B26" s="124" t="n"/>
      <c r="C26" s="125" t="inlineStr">
        <is>
          <t>AX파트</t>
        </is>
      </c>
      <c r="D26" s="126" t="n"/>
      <c r="E26" s="132" t="inlineStr">
        <is>
          <t>서브시스템(모듈)별 약어 표준 현재 적용된, 변경내역 추가</t>
        </is>
      </c>
      <c r="F26" s="128" t="n"/>
      <c r="G26" s="128" t="n"/>
      <c r="H26" s="128" t="n"/>
      <c r="I26" s="128" t="n"/>
      <c r="J26" s="129" t="n"/>
      <c r="K26" s="130" t="n">
        <v>46122</v>
      </c>
      <c r="L26" s="131" t="n"/>
    </row>
    <row r="27" ht="17.25" customHeight="1">
      <c r="A27" s="123" t="n"/>
      <c r="B27" s="124" t="n"/>
      <c r="C27" s="133" t="n"/>
      <c r="D27" s="126" t="n"/>
      <c r="E27" s="132" t="n"/>
      <c r="F27" s="128" t="n"/>
      <c r="G27" s="128" t="n"/>
      <c r="H27" s="128" t="n"/>
      <c r="I27" s="128" t="n"/>
      <c r="J27" s="129" t="n"/>
      <c r="K27" s="134" t="n"/>
      <c r="L27" s="131" t="n"/>
    </row>
    <row r="28">
      <c r="A28" s="123" t="n"/>
      <c r="B28" s="124" t="n"/>
      <c r="C28" s="133" t="n"/>
      <c r="D28" s="126" t="n"/>
      <c r="E28" s="132" t="n"/>
      <c r="F28" s="128" t="n"/>
      <c r="G28" s="128" t="n"/>
      <c r="H28" s="128" t="n"/>
      <c r="I28" s="128" t="n"/>
      <c r="J28" s="129" t="n"/>
      <c r="K28" s="134" t="n"/>
      <c r="L28" s="131" t="n"/>
    </row>
    <row r="29">
      <c r="A29" s="123" t="n"/>
      <c r="B29" s="124" t="n"/>
      <c r="C29" s="133" t="n"/>
      <c r="D29" s="126" t="n"/>
      <c r="E29" s="132" t="n"/>
      <c r="F29" s="128" t="n"/>
      <c r="G29" s="128" t="n"/>
      <c r="H29" s="128" t="n"/>
      <c r="I29" s="128" t="n"/>
      <c r="J29" s="129" t="n"/>
      <c r="K29" s="134" t="n"/>
      <c r="L29" s="131" t="n"/>
    </row>
    <row r="30">
      <c r="A30" s="123" t="n"/>
      <c r="B30" s="124" t="n"/>
      <c r="C30" s="133" t="n"/>
      <c r="D30" s="126" t="n"/>
      <c r="E30" s="132" t="n"/>
      <c r="F30" s="128" t="n"/>
      <c r="G30" s="128" t="n"/>
      <c r="H30" s="128" t="n"/>
      <c r="I30" s="128" t="n"/>
      <c r="J30" s="129" t="n"/>
      <c r="K30" s="134" t="n"/>
      <c r="L30" s="131" t="n"/>
    </row>
    <row r="31">
      <c r="A31" s="123" t="n"/>
      <c r="B31" s="124" t="n"/>
      <c r="C31" s="133" t="n"/>
      <c r="D31" s="126" t="n"/>
      <c r="E31" s="132" t="n"/>
      <c r="F31" s="128" t="n"/>
      <c r="G31" s="128" t="n"/>
      <c r="H31" s="128" t="n"/>
      <c r="I31" s="128" t="n"/>
      <c r="J31" s="129" t="n"/>
      <c r="K31" s="134" t="n"/>
      <c r="L31" s="131" t="n"/>
    </row>
    <row r="32">
      <c r="A32" s="123" t="n"/>
      <c r="B32" s="124" t="n"/>
      <c r="C32" s="133" t="n"/>
      <c r="D32" s="126" t="n"/>
      <c r="E32" s="132" t="n"/>
      <c r="F32" s="128" t="n"/>
      <c r="G32" s="128" t="n"/>
      <c r="H32" s="128" t="n"/>
      <c r="I32" s="128" t="n"/>
      <c r="J32" s="129" t="n"/>
      <c r="K32" s="134" t="n"/>
      <c r="L32" s="131" t="n"/>
    </row>
    <row r="33">
      <c r="A33" s="123" t="n"/>
      <c r="B33" s="124" t="n"/>
      <c r="C33" s="133" t="n"/>
      <c r="D33" s="126" t="n"/>
      <c r="E33" s="132" t="n"/>
      <c r="F33" s="128" t="n"/>
      <c r="G33" s="128" t="n"/>
      <c r="H33" s="128" t="n"/>
      <c r="I33" s="128" t="n"/>
      <c r="J33" s="129" t="n"/>
      <c r="K33" s="134" t="n"/>
      <c r="L33" s="131" t="n"/>
    </row>
    <row r="34">
      <c r="A34" s="123" t="n"/>
      <c r="B34" s="124" t="n"/>
      <c r="C34" s="133" t="n"/>
      <c r="D34" s="126" t="n"/>
      <c r="E34" s="132" t="n"/>
      <c r="F34" s="128" t="n"/>
      <c r="G34" s="128" t="n"/>
      <c r="H34" s="128" t="n"/>
      <c r="I34" s="128" t="n"/>
      <c r="J34" s="129" t="n"/>
      <c r="K34" s="134" t="n"/>
      <c r="L34" s="131" t="n"/>
    </row>
    <row r="35">
      <c r="A35" s="123" t="n"/>
      <c r="B35" s="124" t="n"/>
      <c r="C35" s="133" t="n"/>
      <c r="D35" s="126" t="n"/>
      <c r="E35" s="132" t="n"/>
      <c r="F35" s="128" t="n"/>
      <c r="G35" s="128" t="n"/>
      <c r="H35" s="128" t="n"/>
      <c r="I35" s="128" t="n"/>
      <c r="J35" s="129" t="n"/>
      <c r="K35" s="134" t="n"/>
      <c r="L35" s="131" t="n"/>
    </row>
    <row r="36">
      <c r="A36" s="123" t="n"/>
      <c r="B36" s="124" t="n"/>
      <c r="C36" s="133" t="n"/>
      <c r="D36" s="126" t="n"/>
      <c r="E36" s="132" t="n"/>
      <c r="F36" s="128" t="n"/>
      <c r="G36" s="128" t="n"/>
      <c r="H36" s="128" t="n"/>
      <c r="I36" s="128" t="n"/>
      <c r="J36" s="129" t="n"/>
      <c r="K36" s="134" t="n"/>
      <c r="L36" s="131" t="n"/>
    </row>
    <row r="37">
      <c r="A37" s="123" t="n"/>
      <c r="B37" s="124" t="n"/>
      <c r="C37" s="133" t="n"/>
      <c r="D37" s="126" t="n"/>
      <c r="E37" s="132" t="n"/>
      <c r="F37" s="128" t="n"/>
      <c r="G37" s="128" t="n"/>
      <c r="H37" s="128" t="n"/>
      <c r="I37" s="128" t="n"/>
      <c r="J37" s="129" t="n"/>
      <c r="K37" s="134" t="n"/>
      <c r="L37" s="131" t="n"/>
    </row>
    <row r="38">
      <c r="A38" s="123" t="n"/>
      <c r="B38" s="124" t="n"/>
      <c r="C38" s="133" t="n"/>
      <c r="D38" s="126" t="n"/>
      <c r="E38" s="132" t="n"/>
      <c r="F38" s="128" t="n"/>
      <c r="G38" s="128" t="n"/>
      <c r="H38" s="128" t="n"/>
      <c r="I38" s="128" t="n"/>
      <c r="J38" s="129" t="n"/>
      <c r="K38" s="134" t="n"/>
      <c r="L38" s="131" t="n"/>
    </row>
    <row r="39">
      <c r="A39" s="123" t="n"/>
      <c r="B39" s="124" t="n"/>
      <c r="C39" s="133" t="n"/>
      <c r="D39" s="126" t="n"/>
      <c r="E39" s="132" t="n"/>
      <c r="F39" s="128" t="n"/>
      <c r="G39" s="128" t="n"/>
      <c r="H39" s="128" t="n"/>
      <c r="I39" s="128" t="n"/>
      <c r="J39" s="129" t="n"/>
      <c r="K39" s="134" t="n"/>
      <c r="L39" s="131" t="n"/>
    </row>
    <row r="40">
      <c r="A40" s="123" t="n"/>
      <c r="B40" s="124" t="n"/>
      <c r="C40" s="133" t="n"/>
      <c r="D40" s="126" t="n"/>
      <c r="E40" s="132" t="n"/>
      <c r="F40" s="128" t="n"/>
      <c r="G40" s="128" t="n"/>
      <c r="H40" s="128" t="n"/>
      <c r="I40" s="128" t="n"/>
      <c r="J40" s="129" t="n"/>
      <c r="K40" s="134" t="n"/>
      <c r="L40" s="131" t="n"/>
    </row>
    <row r="41" ht="17.5" customHeight="1" thickBot="1">
      <c r="A41" s="135" t="n"/>
      <c r="B41" s="136" t="n"/>
      <c r="C41" s="137" t="n"/>
      <c r="D41" s="138" t="n"/>
      <c r="E41" s="139" t="n"/>
      <c r="F41" s="140" t="n"/>
      <c r="G41" s="140" t="n"/>
      <c r="H41" s="140" t="n"/>
      <c r="I41" s="140" t="n"/>
      <c r="J41" s="141" t="n"/>
      <c r="K41" s="142" t="n"/>
      <c r="L41" s="143" t="n"/>
    </row>
    <row r="42">
      <c r="A42" s="38" t="n"/>
      <c r="B42" s="38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40" t="n"/>
      <c r="L42" s="40" t="n"/>
    </row>
    <row r="43">
      <c r="A43" s="38" t="n"/>
      <c r="B43" s="38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40" t="n"/>
      <c r="L43" s="40" t="n"/>
    </row>
    <row r="44">
      <c r="A44" s="38" t="n"/>
      <c r="B44" s="38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40" t="n"/>
      <c r="L44" s="40" t="n"/>
    </row>
    <row r="45">
      <c r="A45" s="38" t="n"/>
      <c r="B45" s="38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40" t="n"/>
      <c r="L45" s="40" t="n"/>
    </row>
    <row r="46">
      <c r="A46" s="38" t="n"/>
      <c r="B46" s="38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40" t="n"/>
      <c r="L46" s="40" t="n"/>
    </row>
    <row r="47">
      <c r="A47" s="38" t="n"/>
      <c r="B47" s="38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40" t="n"/>
      <c r="L47" s="40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</row>
    <row r="50" ht="25.5" customHeight="1"/>
  </sheetData>
  <mergeCells count="88">
    <mergeCell ref="D13:L13"/>
    <mergeCell ref="E28:J28"/>
    <mergeCell ref="K24:L24"/>
    <mergeCell ref="K33:L33"/>
    <mergeCell ref="E30:J30"/>
    <mergeCell ref="K26:L26"/>
    <mergeCell ref="K35:L35"/>
    <mergeCell ref="A41:B41"/>
    <mergeCell ref="C41:D41"/>
    <mergeCell ref="A27:B27"/>
    <mergeCell ref="E32:J32"/>
    <mergeCell ref="A33:B33"/>
    <mergeCell ref="C27:D27"/>
    <mergeCell ref="C36:D36"/>
    <mergeCell ref="A22:B22"/>
    <mergeCell ref="A35:B35"/>
    <mergeCell ref="E24:J24"/>
    <mergeCell ref="A28:B28"/>
    <mergeCell ref="K28:L28"/>
    <mergeCell ref="C28:D28"/>
    <mergeCell ref="K37:L37"/>
    <mergeCell ref="A39:B39"/>
    <mergeCell ref="A30:B30"/>
    <mergeCell ref="K30:L30"/>
    <mergeCell ref="C30:D30"/>
    <mergeCell ref="E34:J34"/>
    <mergeCell ref="K21:L21"/>
    <mergeCell ref="E36:J36"/>
    <mergeCell ref="K32:L32"/>
    <mergeCell ref="A37:B37"/>
    <mergeCell ref="A14:L14"/>
    <mergeCell ref="K41:L41"/>
    <mergeCell ref="C40:D40"/>
    <mergeCell ref="A26:B26"/>
    <mergeCell ref="D15:L15"/>
    <mergeCell ref="E22:J22"/>
    <mergeCell ref="E37:J37"/>
    <mergeCell ref="K27:L27"/>
    <mergeCell ref="E21:J21"/>
    <mergeCell ref="E23:J23"/>
    <mergeCell ref="E38:J38"/>
    <mergeCell ref="A34:B34"/>
    <mergeCell ref="C34:D34"/>
    <mergeCell ref="K25:L25"/>
    <mergeCell ref="E40:J40"/>
    <mergeCell ref="A36:B36"/>
    <mergeCell ref="K29:L29"/>
    <mergeCell ref="C29:D29"/>
    <mergeCell ref="E27:J27"/>
    <mergeCell ref="C22:D22"/>
    <mergeCell ref="K31:L31"/>
    <mergeCell ref="C31:D31"/>
    <mergeCell ref="K40:L40"/>
    <mergeCell ref="E25:J25"/>
    <mergeCell ref="A21:B21"/>
    <mergeCell ref="C21:D21"/>
    <mergeCell ref="A32:B32"/>
    <mergeCell ref="K23:L23"/>
    <mergeCell ref="A23:B23"/>
    <mergeCell ref="C23:D23"/>
    <mergeCell ref="A38:B38"/>
    <mergeCell ref="C32:D32"/>
    <mergeCell ref="C38:D38"/>
    <mergeCell ref="E39:J39"/>
    <mergeCell ref="A40:B40"/>
    <mergeCell ref="E29:J29"/>
    <mergeCell ref="A24:B24"/>
    <mergeCell ref="K34:L34"/>
    <mergeCell ref="C24:D24"/>
    <mergeCell ref="C33:D33"/>
    <mergeCell ref="E31:J31"/>
    <mergeCell ref="K36:L36"/>
    <mergeCell ref="C26:D26"/>
    <mergeCell ref="C35:D35"/>
    <mergeCell ref="A25:B25"/>
    <mergeCell ref="C25:D25"/>
    <mergeCell ref="E26:J26"/>
    <mergeCell ref="K22:L22"/>
    <mergeCell ref="E41:J41"/>
    <mergeCell ref="A19:L19"/>
    <mergeCell ref="K39:L39"/>
    <mergeCell ref="C39:D39"/>
    <mergeCell ref="E33:J33"/>
    <mergeCell ref="A29:B29"/>
    <mergeCell ref="K38:L38"/>
    <mergeCell ref="C37:D37"/>
    <mergeCell ref="E35:J35"/>
    <mergeCell ref="A31:B31"/>
  </mergeCells>
  <pageMargins left="0.7086614173228347" right="0.7874015748031497" top="0.3543307086614174" bottom="0.1574803149606299" header="0" footer="0"/>
  <pageSetup orientation="landscape" paperSize="9" scale="92" fitToHeight="0"/>
  <rowBreaks count="1" manualBreakCount="1">
    <brk id="16" min="0" max="11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7"/>
  <sheetViews>
    <sheetView showGridLines="0" zoomScaleNormal="100" zoomScaleSheetLayoutView="130" workbookViewId="0">
      <pane xSplit="6" ySplit="5" topLeftCell="L6" activePane="bottomRight" state="frozen"/>
      <selection activeCell="C21" sqref="C21:D21"/>
      <selection pane="topRight" activeCell="C21" sqref="C21:D21"/>
      <selection pane="bottomLeft" activeCell="C21" sqref="C21:D21"/>
      <selection pane="bottomRight" activeCell="D5" sqref="D5"/>
    </sheetView>
  </sheetViews>
  <sheetFormatPr baseColWidth="8" defaultColWidth="8.9140625" defaultRowHeight="16"/>
  <cols>
    <col width="3.4140625" customWidth="1" style="7" min="1" max="1"/>
    <col width="10.4140625" customWidth="1" style="7" min="2" max="2"/>
    <col width="12.9140625" customWidth="1" style="9" min="3" max="3"/>
    <col width="12.83203125" customWidth="1" style="7" min="4" max="4"/>
    <col width="20.83203125" customWidth="1" style="7" min="5" max="5"/>
    <col width="28.83203125" customWidth="1" style="7" min="6" max="6"/>
    <col width="28.83203125" customWidth="1" style="8" min="7" max="8"/>
    <col width="6.4140625" customWidth="1" style="9" min="9" max="9"/>
    <col width="7.58203125" customWidth="1" style="9" min="10" max="10"/>
    <col width="10.08203125" customWidth="1" style="7" min="11" max="12"/>
    <col width="6.4140625" customWidth="1" style="7" min="13" max="13"/>
    <col width="9.9140625" customWidth="1" style="7" min="14" max="14"/>
    <col width="29.9140625" customWidth="1" style="7" min="15" max="15"/>
    <col width="6.4140625" customWidth="1" style="9" min="16" max="17"/>
    <col width="3.6640625" customWidth="1" style="9" min="18" max="18"/>
    <col width="4.4140625" bestFit="1" customWidth="1" style="9" min="19" max="19"/>
    <col width="10.6640625" customWidth="1" style="7" min="20" max="21"/>
    <col width="9.6640625" bestFit="1" customWidth="1" style="9" min="22" max="22"/>
    <col width="12" customWidth="1" style="7" min="23" max="23"/>
    <col width="8.9140625" customWidth="1" style="5" min="24" max="16384"/>
  </cols>
  <sheetData>
    <row r="1" ht="10" customHeight="1">
      <c r="A1" s="111" t="n"/>
      <c r="P1" s="5" t="n"/>
      <c r="Q1" s="5" t="n"/>
      <c r="R1" s="5" t="n"/>
      <c r="S1" s="5" t="n"/>
      <c r="T1" s="5" t="n"/>
      <c r="U1" s="5" t="n"/>
      <c r="V1" s="5" t="n"/>
      <c r="W1" s="5" t="n"/>
    </row>
    <row r="2" ht="24" customFormat="1" customHeight="1" s="6" thickBot="1">
      <c r="A2" s="112">
        <f>"▣ " &amp; RIGHT(CELL("filename",A1),LEN(CELL("filename",A1))-FIND("]",CELL("filename",A1))) &amp; " 요구사항정의서"</f>
        <v/>
      </c>
      <c r="B2" s="144" t="n"/>
      <c r="C2" s="144" t="n"/>
      <c r="D2" s="144" t="n"/>
      <c r="E2" s="144" t="n"/>
      <c r="F2" s="17" t="n"/>
      <c r="G2" s="18" t="n"/>
      <c r="H2" s="26" t="n"/>
      <c r="I2" s="19" t="n"/>
      <c r="J2" s="19" t="n"/>
      <c r="K2" s="20" t="n"/>
      <c r="L2" s="20" t="n"/>
      <c r="M2" s="20" t="n"/>
      <c r="N2" s="20" t="n"/>
      <c r="O2" s="21" t="n"/>
      <c r="P2" s="22" t="n"/>
      <c r="Q2" s="22" t="n"/>
      <c r="R2" s="19" t="n"/>
      <c r="S2" s="19" t="n"/>
      <c r="T2" s="20" t="inlineStr">
        <is>
          <t>▣ 작성자:</t>
        </is>
      </c>
      <c r="U2" s="21" t="inlineStr">
        <is>
          <t>강민석</t>
        </is>
      </c>
      <c r="V2" s="22" t="inlineStr">
        <is>
          <t>▣ 작성일:</t>
        </is>
      </c>
      <c r="W2" s="23" t="n">
        <v>46127</v>
      </c>
    </row>
    <row r="3" ht="3" customFormat="1" customHeight="1" s="6">
      <c r="A3" s="10" t="n"/>
      <c r="B3" s="13" t="n"/>
      <c r="C3" s="10" t="n"/>
      <c r="D3" s="10" t="n"/>
      <c r="E3" s="10" t="n"/>
      <c r="F3" s="11" t="n"/>
      <c r="G3" s="12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</row>
    <row r="4" ht="17.5" customFormat="1" customHeight="1" s="6">
      <c r="A4" s="113" t="inlineStr">
        <is>
          <t>요구사항 정의</t>
        </is>
      </c>
      <c r="B4" s="145" t="n"/>
      <c r="C4" s="145" t="n"/>
      <c r="D4" s="145" t="n"/>
      <c r="E4" s="145" t="n"/>
      <c r="F4" s="145" t="n"/>
      <c r="G4" s="145" t="n"/>
      <c r="H4" s="146" t="n"/>
      <c r="I4" s="147" t="inlineStr">
        <is>
          <t>변경 내역</t>
        </is>
      </c>
      <c r="J4" s="128" t="n"/>
      <c r="K4" s="128" t="n"/>
      <c r="L4" s="128" t="n"/>
      <c r="M4" s="128" t="n"/>
      <c r="N4" s="128" t="n"/>
      <c r="O4" s="128" t="n"/>
      <c r="P4" s="128" t="n"/>
      <c r="Q4" s="126" t="n"/>
      <c r="R4" s="147" t="inlineStr">
        <is>
          <t>기타</t>
        </is>
      </c>
      <c r="S4" s="128" t="n"/>
      <c r="T4" s="128" t="n"/>
      <c r="U4" s="128" t="n"/>
      <c r="V4" s="128" t="n"/>
      <c r="W4" s="126" t="n"/>
    </row>
    <row r="5" ht="44" customFormat="1" customHeight="1" s="6" thickBot="1">
      <c r="A5" s="14" t="inlineStr">
        <is>
          <t>NO</t>
        </is>
      </c>
      <c r="B5" s="25" t="inlineStr">
        <is>
          <t>서브시스템</t>
        </is>
      </c>
      <c r="C5" s="15" t="inlineStr">
        <is>
          <t>요구사항 ID</t>
        </is>
      </c>
      <c r="D5" s="25" t="inlineStr">
        <is>
          <t>요구사항 구분</t>
        </is>
      </c>
      <c r="E5" s="25" t="inlineStr">
        <is>
          <t>요구사항</t>
        </is>
      </c>
      <c r="F5" s="25" t="inlineStr">
        <is>
          <t>요구사항 상세 설명</t>
        </is>
      </c>
      <c r="G5" s="25" t="inlineStr">
        <is>
          <t>매핑/GAP분석</t>
        </is>
      </c>
      <c r="H5" s="25" t="inlineStr">
        <is>
          <t>GAP대응방안</t>
        </is>
      </c>
      <c r="I5" s="25" t="inlineStr">
        <is>
          <t>변경
구분</t>
        </is>
      </c>
      <c r="J5" s="25" t="inlineStr">
        <is>
          <t>변경
완료 여부</t>
        </is>
      </c>
      <c r="K5" s="25" t="inlineStr">
        <is>
          <t>변경
시작일</t>
        </is>
      </c>
      <c r="L5" s="25" t="inlineStr">
        <is>
          <t>변경
완료일</t>
        </is>
      </c>
      <c r="M5" s="25" t="inlineStr">
        <is>
          <t>변경
요청자</t>
        </is>
      </c>
      <c r="N5" s="25" t="inlineStr">
        <is>
          <t>현재 적용된 
변경 버전</t>
        </is>
      </c>
      <c r="O5" s="25" t="inlineStr">
        <is>
          <t>변경 상세 내용
(변경일자 (변경 버전), 변경 상세 내용)</t>
        </is>
      </c>
      <c r="P5" s="25" t="inlineStr">
        <is>
          <t>변경
출처</t>
        </is>
      </c>
      <c r="Q5" s="25" t="inlineStr">
        <is>
          <t>변경
승인근거</t>
        </is>
      </c>
      <c r="R5" s="25" t="inlineStr">
        <is>
          <t>기능분류</t>
        </is>
      </c>
      <c r="S5" s="25" t="inlineStr">
        <is>
          <t>수용 
여부</t>
        </is>
      </c>
      <c r="T5" s="25" t="inlineStr">
        <is>
          <t>요구사항출처</t>
        </is>
      </c>
      <c r="U5" s="25" t="inlineStr">
        <is>
          <t>요구추적 출처</t>
        </is>
      </c>
      <c r="V5" s="25" t="inlineStr">
        <is>
          <t>관련부서</t>
        </is>
      </c>
      <c r="W5" s="16" t="inlineStr">
        <is>
          <t>비고</t>
        </is>
      </c>
    </row>
    <row r="6" ht="43.5" customHeight="1">
      <c r="A6" s="43">
        <f>ROW($A6)-5</f>
        <v/>
      </c>
      <c r="B6" s="44" t="inlineStr">
        <is>
          <t>협업</t>
        </is>
      </c>
      <c r="C6" s="44" t="inlineStr">
        <is>
          <t>REQ-COW-001</t>
        </is>
      </c>
      <c r="D6" s="45" t="inlineStr">
        <is>
          <t>계열사</t>
        </is>
      </c>
      <c r="E6" s="46" t="inlineStr">
        <is>
          <t>계열사 2개사 반영
1. UTI VINA (V1)
2. UTI VINA Vinh Phuc (V2)</t>
        </is>
      </c>
      <c r="F6" s="47" t="n"/>
      <c r="G6" s="48" t="n"/>
      <c r="H6" s="49" t="inlineStr">
        <is>
          <t>계열사별 서브도메인 설정</t>
        </is>
      </c>
      <c r="I6" s="43" t="n"/>
      <c r="J6" s="43" t="n"/>
      <c r="K6" s="42" t="n"/>
      <c r="L6" s="43" t="n"/>
      <c r="M6" s="43" t="n"/>
      <c r="N6" s="43" t="n"/>
      <c r="O6" s="53" t="n"/>
      <c r="P6" s="53" t="n"/>
      <c r="Q6" s="53" t="n"/>
      <c r="R6" s="43" t="inlineStr">
        <is>
          <t>기능</t>
        </is>
      </c>
      <c r="S6" s="50" t="inlineStr">
        <is>
          <t>수용</t>
        </is>
      </c>
      <c r="T6" s="50" t="inlineStr">
        <is>
          <t>영업인수인계자료, 260306인터뷰</t>
        </is>
      </c>
      <c r="U6" s="43" t="n"/>
      <c r="V6" s="43" t="n"/>
      <c r="W6" s="43" t="n"/>
    </row>
    <row r="7" ht="48" customHeight="1">
      <c r="A7" s="43">
        <f>ROW($A7)-5</f>
        <v/>
      </c>
      <c r="B7" s="44" t="inlineStr">
        <is>
          <t>협업</t>
        </is>
      </c>
      <c r="C7" s="44" t="inlineStr">
        <is>
          <t>REQ-COW-002</t>
        </is>
      </c>
      <c r="D7" s="50" t="inlineStr">
        <is>
          <t>다국어</t>
        </is>
      </c>
      <c r="E7" s="46" t="inlineStr">
        <is>
          <t>다국어 지원 (한국어, 영어, 베트남어)</t>
        </is>
      </c>
      <c r="F7" s="47" t="n"/>
      <c r="G7" s="48" t="inlineStr">
        <is>
          <t>베트남 현지화를 위한 베트남어 적용
(기계어번역으로 제공하여 고객사에서 검수(보정)하는 방식으로 진행)</t>
        </is>
      </c>
      <c r="H7" s="46" t="inlineStr">
        <is>
          <t>그룹웨어에서 사용하는 모든 다국어를 추출하여 번역기를 사용하여 베트남어로 변경 후 고객사 최종 확인 후 적용</t>
        </is>
      </c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51" t="inlineStr">
        <is>
          <t>기능</t>
        </is>
      </c>
      <c r="S7" s="50" t="inlineStr">
        <is>
          <t>수용</t>
        </is>
      </c>
      <c r="T7" s="50" t="inlineStr">
        <is>
          <t>영업인수인계자료, 260307인터뷰</t>
        </is>
      </c>
      <c r="U7" s="43" t="n"/>
      <c r="V7" s="43" t="n"/>
      <c r="W7" s="43" t="n"/>
    </row>
    <row r="8" ht="58" customHeight="1">
      <c r="A8" s="43">
        <f>ROW($A8)-5</f>
        <v/>
      </c>
      <c r="B8" s="44" t="inlineStr">
        <is>
          <t>협업</t>
        </is>
      </c>
      <c r="C8" s="44" t="inlineStr">
        <is>
          <t>REQ-COW-003</t>
        </is>
      </c>
      <c r="D8" s="45" t="inlineStr">
        <is>
          <t>자원예약</t>
        </is>
      </c>
      <c r="E8" s="46" t="inlineStr">
        <is>
          <t>자원예약 &lt;&gt; 아웃룩 회의실 동기화 연동 (현재 아웃룩 회의실 예약과 월패트간 양방향 싱크는 기 구성)</t>
        </is>
      </c>
      <c r="F8" s="47" t="n"/>
      <c r="G8" s="48" t="n"/>
      <c r="H8" s="46" t="inlineStr">
        <is>
          <t>고객사에서 사용중인 Exchange 회의실 목록 및 메일주소를 전달받아 그룹웨어에서 생성 후 Exchange자원예약과 매핑</t>
        </is>
      </c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inlineStr">
        <is>
          <t>기능</t>
        </is>
      </c>
      <c r="S8" s="50" t="inlineStr">
        <is>
          <t>수용</t>
        </is>
      </c>
      <c r="T8" s="50" t="inlineStr">
        <is>
          <t>영업인수인계자료, 260308인터뷰</t>
        </is>
      </c>
      <c r="U8" s="43" t="n"/>
      <c r="V8" s="43" t="n"/>
      <c r="W8" s="43" t="n"/>
    </row>
    <row r="9" ht="43.5" customHeight="1">
      <c r="A9" s="43">
        <f>ROW($A9)-5</f>
        <v/>
      </c>
      <c r="B9" s="44" t="inlineStr">
        <is>
          <t>협업</t>
        </is>
      </c>
      <c r="C9" s="44" t="inlineStr">
        <is>
          <t>REQ-COW-004</t>
        </is>
      </c>
      <c r="D9" s="45" t="inlineStr">
        <is>
          <t>일정관리</t>
        </is>
      </c>
      <c r="E9" s="46" t="inlineStr">
        <is>
          <t>일정관리 &lt;&gt; 아웃룩 동기화 연동 요청</t>
        </is>
      </c>
      <c r="F9" s="47" t="n"/>
      <c r="G9" s="48" t="n"/>
      <c r="H9" s="46" t="inlineStr">
        <is>
          <t>개인일정만 Exchange와 연동되며 회사, 부서 등은 연동 대상에서 제외</t>
        </is>
      </c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inlineStr">
        <is>
          <t>기능</t>
        </is>
      </c>
      <c r="S9" s="50" t="inlineStr">
        <is>
          <t>수용</t>
        </is>
      </c>
      <c r="T9" s="50" t="inlineStr">
        <is>
          <t>영업인수인계자료, 260309인터뷰</t>
        </is>
      </c>
      <c r="U9" s="43" t="n"/>
      <c r="V9" s="43" t="n"/>
      <c r="W9" s="43" t="n"/>
    </row>
    <row r="10">
      <c r="B10" s="8" t="n"/>
      <c r="D10" s="8" t="n"/>
      <c r="E10" s="8" t="n"/>
      <c r="F10" s="8" t="n"/>
      <c r="K10" s="8" t="n"/>
      <c r="L10" s="8" t="n"/>
      <c r="M10" s="8" t="n"/>
      <c r="N10" s="8" t="n"/>
      <c r="O10" s="8" t="n"/>
      <c r="T10" s="8" t="n"/>
      <c r="U10" s="8" t="n"/>
      <c r="W10" s="8" t="n"/>
    </row>
    <row r="11">
      <c r="B11" s="8" t="n"/>
      <c r="D11" s="8" t="n"/>
      <c r="E11" s="8" t="n"/>
      <c r="F11" s="8" t="n"/>
      <c r="K11" s="8" t="n"/>
      <c r="L11" s="8" t="n"/>
      <c r="M11" s="8" t="n"/>
      <c r="N11" s="8" t="n"/>
      <c r="O11" s="8" t="n"/>
      <c r="T11" s="8" t="n"/>
      <c r="U11" s="8" t="n"/>
      <c r="W11" s="8" t="n"/>
    </row>
    <row r="12">
      <c r="B12" s="8" t="n"/>
      <c r="D12" s="8" t="n"/>
      <c r="E12" s="8" t="n"/>
      <c r="F12" s="8" t="n"/>
      <c r="K12" s="8" t="n"/>
      <c r="L12" s="8" t="n"/>
      <c r="M12" s="8" t="n"/>
      <c r="N12" s="8" t="n"/>
      <c r="O12" s="8" t="n"/>
      <c r="T12" s="8" t="n"/>
      <c r="U12" s="8" t="n"/>
      <c r="W12" s="8" t="n"/>
    </row>
    <row r="13">
      <c r="B13" s="8" t="n"/>
      <c r="D13" s="8" t="n"/>
      <c r="E13" s="8" t="n"/>
      <c r="F13" s="8" t="n"/>
      <c r="K13" s="8" t="n"/>
      <c r="L13" s="8" t="n"/>
      <c r="M13" s="8" t="n"/>
      <c r="N13" s="8" t="n"/>
      <c r="O13" s="8" t="n"/>
      <c r="T13" s="8" t="n"/>
      <c r="U13" s="8" t="n"/>
      <c r="W13" s="8" t="n"/>
    </row>
    <row r="14">
      <c r="B14" s="8" t="n"/>
      <c r="D14" s="8" t="n"/>
      <c r="E14" s="8" t="n"/>
      <c r="F14" s="8" t="n"/>
      <c r="K14" s="8" t="n"/>
      <c r="L14" s="8" t="n"/>
      <c r="M14" s="8" t="n"/>
      <c r="N14" s="8" t="n"/>
      <c r="O14" s="8" t="n"/>
      <c r="T14" s="8" t="n"/>
      <c r="U14" s="8" t="n"/>
      <c r="W14" s="8" t="n"/>
    </row>
    <row r="15">
      <c r="B15" s="8" t="n"/>
      <c r="D15" s="8" t="n"/>
      <c r="E15" s="8" t="n"/>
      <c r="F15" s="8" t="n"/>
      <c r="K15" s="8" t="n"/>
      <c r="L15" s="8" t="n"/>
      <c r="M15" s="8" t="n"/>
      <c r="N15" s="8" t="n"/>
      <c r="O15" s="8" t="n"/>
      <c r="T15" s="8" t="n"/>
      <c r="U15" s="8" t="n"/>
      <c r="W15" s="8" t="n"/>
    </row>
    <row r="16">
      <c r="B16" s="8" t="n"/>
      <c r="D16" s="8" t="n"/>
      <c r="E16" s="8" t="n"/>
      <c r="F16" s="8" t="n"/>
      <c r="K16" s="8" t="n"/>
      <c r="L16" s="8" t="n"/>
      <c r="M16" s="8" t="n"/>
      <c r="N16" s="8" t="n"/>
      <c r="O16" s="8" t="n"/>
      <c r="T16" s="8" t="n"/>
      <c r="U16" s="8" t="n"/>
      <c r="W16" s="8" t="n"/>
    </row>
    <row r="17">
      <c r="K17" s="8" t="n"/>
      <c r="L17" s="8" t="n"/>
      <c r="M17" s="8" t="n"/>
      <c r="N17" s="8" t="n"/>
      <c r="O17" s="8" t="n"/>
      <c r="T17" s="8" t="n"/>
      <c r="U17" s="8" t="n"/>
      <c r="W17" s="8" t="n"/>
    </row>
  </sheetData>
  <mergeCells count="5">
    <mergeCell ref="A4:H4"/>
    <mergeCell ref="A2:E2"/>
    <mergeCell ref="A1:O1"/>
    <mergeCell ref="R4:W4"/>
    <mergeCell ref="I4:Q4"/>
  </mergeCells>
  <conditionalFormatting sqref="A10:H90">
    <cfRule type="expression" priority="181" dxfId="1">
      <formula>IF($J10="제외", TRUE, FALSE)</formula>
    </cfRule>
    <cfRule type="expression" priority="182" dxfId="4">
      <formula>IF(OR($J10="부분수용", $J10="불가"), TRUE, FALSE)</formula>
    </cfRule>
  </conditionalFormatting>
  <conditionalFormatting sqref="S10:W91 U6:W9">
    <cfRule type="expression" priority="87" dxfId="1">
      <formula>IF($S6="제외", TRUE, FALSE)</formula>
    </cfRule>
    <cfRule type="expression" priority="88" dxfId="4">
      <formula>IF(OR($S6="부분수용", $S6="불가"), TRUE, FALSE)</formula>
    </cfRule>
  </conditionalFormatting>
  <conditionalFormatting sqref="I10:I91">
    <cfRule type="expression" priority="83" dxfId="1">
      <formula>IF(#REF!="제외", TRUE, FALSE)</formula>
    </cfRule>
    <cfRule type="expression" priority="84" dxfId="4">
      <formula>IF(OR(#REF!="부분수용", #REF!="불가"), TRUE, FALSE)</formula>
    </cfRule>
  </conditionalFormatting>
  <conditionalFormatting sqref="O10:O91 Q10:Q91">
    <cfRule type="expression" priority="81" dxfId="1">
      <formula>IF(#REF!="제외", TRUE, FALSE)</formula>
    </cfRule>
    <cfRule type="expression" priority="82" dxfId="4">
      <formula>IF(OR(#REF!="부분수용", #REF!="불가"), TRUE, FALSE)</formula>
    </cfRule>
  </conditionalFormatting>
  <conditionalFormatting sqref="K10:K91 M10:N91">
    <cfRule type="expression" priority="79" dxfId="1">
      <formula>IF(#REF!="제외", TRUE, FALSE)</formula>
    </cfRule>
    <cfRule type="expression" priority="80" dxfId="4">
      <formula>IF(OR(#REF!="부분수용", #REF!="불가"), TRUE, FALSE)</formula>
    </cfRule>
  </conditionalFormatting>
  <conditionalFormatting sqref="J10:J91">
    <cfRule type="expression" priority="75" dxfId="1">
      <formula>IF(#REF!="제외", TRUE, FALSE)</formula>
    </cfRule>
    <cfRule type="expression" priority="76" dxfId="4">
      <formula>IF(OR(#REF!="부분수용", #REF!="불가"), TRUE, FALSE)</formula>
    </cfRule>
  </conditionalFormatting>
  <conditionalFormatting sqref="L10:L91">
    <cfRule type="expression" priority="71" dxfId="1">
      <formula>IF(#REF!="제외", TRUE, FALSE)</formula>
    </cfRule>
    <cfRule type="expression" priority="72" dxfId="4">
      <formula>IF(OR(#REF!="부분수용", #REF!="불가"), TRUE, FALSE)</formula>
    </cfRule>
  </conditionalFormatting>
  <conditionalFormatting sqref="P10:P91">
    <cfRule type="expression" priority="69" dxfId="1">
      <formula>IF(#REF!="제외", TRUE, FALSE)</formula>
    </cfRule>
    <cfRule type="expression" priority="70" dxfId="4">
      <formula>IF(OR(#REF!="부분수용", #REF!="불가"), TRUE, FALSE)</formula>
    </cfRule>
  </conditionalFormatting>
  <conditionalFormatting sqref="R10:R91">
    <cfRule type="expression" priority="65" dxfId="1">
      <formula>IF($J10="제외", TRUE, FALSE)</formula>
    </cfRule>
    <cfRule type="expression" priority="66" dxfId="4">
      <formula>IF(OR($J10="부분수용", $J10="불가"), TRUE, FALSE)</formula>
    </cfRule>
  </conditionalFormatting>
  <conditionalFormatting sqref="I7:Q9">
    <cfRule type="expression" priority="53" dxfId="1">
      <formula>IF($S7="제외", TRUE, FALSE)</formula>
    </cfRule>
    <cfRule type="expression" priority="54" dxfId="4">
      <formula>IF(OR($S7="부분수용", $S7="불가"), TRUE, FALSE)</formula>
    </cfRule>
  </conditionalFormatting>
  <conditionalFormatting sqref="I6:Q6">
    <cfRule type="expression" priority="49" dxfId="1">
      <formula>IF($X6="제외", TRUE, FALSE)</formula>
    </cfRule>
    <cfRule type="expression" priority="50" dxfId="4">
      <formula>IF(OR($X6="부분수용", $X6="불가"), TRUE, FALSE)</formula>
    </cfRule>
  </conditionalFormatting>
  <conditionalFormatting sqref="A7:A9">
    <cfRule type="expression" priority="47" dxfId="1">
      <formula>IF($S7="제외", TRUE, FALSE)</formula>
    </cfRule>
    <cfRule type="expression" priority="48" dxfId="196">
      <formula>IF(OR($S7="부분수용", $S7="불가"), TRUE, FALSE)</formula>
    </cfRule>
  </conditionalFormatting>
  <conditionalFormatting sqref="A6">
    <cfRule type="expression" priority="45" dxfId="1">
      <formula>IF($X6="제외", TRUE, FALSE)</formula>
    </cfRule>
    <cfRule type="expression" priority="46" dxfId="196">
      <formula>IF(OR($X6="부분수용", $X6="불가"), TRUE, FALSE)</formula>
    </cfRule>
  </conditionalFormatting>
  <conditionalFormatting sqref="F6:G7">
    <cfRule type="expression" priority="35" dxfId="1">
      <formula>IF(#REF!="제외", TRUE, FALSE)</formula>
    </cfRule>
    <cfRule type="expression" priority="36" dxfId="158">
      <formula>IF(OR(#REF!="부분수용",#REF!= "불가"), TRUE, FALSE)</formula>
    </cfRule>
  </conditionalFormatting>
  <conditionalFormatting sqref="F8:G9">
    <cfRule type="expression" priority="43" dxfId="1">
      <formula>IF($J8="제외", TRUE, FALSE)</formula>
    </cfRule>
    <cfRule type="expression" priority="44" dxfId="158">
      <formula>IF(OR($J8="부분수용", $J8="불가"), TRUE, FALSE)</formula>
    </cfRule>
  </conditionalFormatting>
  <conditionalFormatting sqref="B6:B9">
    <cfRule type="expression" priority="29" dxfId="117">
      <formula>#REF!="중복"</formula>
    </cfRule>
    <cfRule type="expression" priority="30" dxfId="116">
      <formula>#REF!="확인중"</formula>
    </cfRule>
    <cfRule type="expression" priority="31" dxfId="115">
      <formula>#REF!="제외"</formula>
    </cfRule>
    <cfRule type="expression" priority="32" dxfId="114">
      <formula>#REF!="불가"</formula>
    </cfRule>
    <cfRule type="expression" priority="33" dxfId="113">
      <formula>#REF!="부분수용"</formula>
    </cfRule>
    <cfRule type="expression" priority="34" dxfId="112">
      <formula>#REF!="수용"</formula>
    </cfRule>
  </conditionalFormatting>
  <conditionalFormatting sqref="C6:C9">
    <cfRule type="expression" priority="17" dxfId="117">
      <formula>$N6="중복"</formula>
    </cfRule>
    <cfRule type="expression" priority="18" dxfId="116">
      <formula>$N6="확인중"</formula>
    </cfRule>
    <cfRule type="expression" priority="19" dxfId="115">
      <formula>$N6="제외"</formula>
    </cfRule>
    <cfRule type="expression" priority="20" dxfId="114">
      <formula>$N6="불가"</formula>
    </cfRule>
    <cfRule type="expression" priority="21" dxfId="113">
      <formula>$N6="부분수용"</formula>
    </cfRule>
    <cfRule type="expression" priority="22" dxfId="112">
      <formula>$N6="수용"</formula>
    </cfRule>
  </conditionalFormatting>
  <conditionalFormatting sqref="E6:E7">
    <cfRule type="expression" priority="23" dxfId="117">
      <formula>#REF!="중복"</formula>
    </cfRule>
    <cfRule type="expression" priority="24" dxfId="116">
      <formula>#REF!="확인중"</formula>
    </cfRule>
    <cfRule type="expression" priority="25" dxfId="115">
      <formula>#REF!="제외"</formula>
    </cfRule>
    <cfRule type="expression" priority="26" dxfId="114">
      <formula>#REF!="불가"</formula>
    </cfRule>
    <cfRule type="expression" priority="27" dxfId="113">
      <formula>#REF!="부분수용"</formula>
    </cfRule>
    <cfRule type="expression" priority="28" dxfId="112">
      <formula>#REF!="수용"</formula>
    </cfRule>
  </conditionalFormatting>
  <conditionalFormatting sqref="E8:E9">
    <cfRule type="expression" priority="37" dxfId="117">
      <formula>$N8="중복"</formula>
    </cfRule>
    <cfRule type="expression" priority="38" dxfId="116">
      <formula>$N8="확인중"</formula>
    </cfRule>
    <cfRule type="expression" priority="39" dxfId="115">
      <formula>$N8="제외"</formula>
    </cfRule>
    <cfRule type="expression" priority="40" dxfId="114">
      <formula>$N8="불가"</formula>
    </cfRule>
    <cfRule type="expression" priority="41" dxfId="113">
      <formula>$N8="부분수용"</formula>
    </cfRule>
    <cfRule type="expression" priority="42" dxfId="112">
      <formula>$N8="수용"</formula>
    </cfRule>
  </conditionalFormatting>
  <conditionalFormatting sqref="R8:R9">
    <cfRule type="expression" priority="15" dxfId="1">
      <formula>IF($J8="제외", TRUE, FALSE)</formula>
    </cfRule>
    <cfRule type="expression" priority="16" dxfId="158">
      <formula>IF(OR($J8="부분수용", $J8="불가"), TRUE, FALSE)</formula>
    </cfRule>
  </conditionalFormatting>
  <conditionalFormatting sqref="S8:T9">
    <cfRule type="expression" priority="9" dxfId="117">
      <formula>$N8="중복"</formula>
    </cfRule>
    <cfRule type="expression" priority="10" dxfId="116">
      <formula>$N8="확인중"</formula>
    </cfRule>
    <cfRule type="expression" priority="11" dxfId="115">
      <formula>$N8="제외"</formula>
    </cfRule>
    <cfRule type="expression" priority="12" dxfId="114">
      <formula>$N8="불가"</formula>
    </cfRule>
    <cfRule type="expression" priority="13" dxfId="113">
      <formula>$N8="부분수용"</formula>
    </cfRule>
    <cfRule type="expression" priority="14" dxfId="112">
      <formula>$N8="수용"</formula>
    </cfRule>
  </conditionalFormatting>
  <conditionalFormatting sqref="R6:R7">
    <cfRule type="expression" priority="7" dxfId="1">
      <formula>IF(#REF!="제외", TRUE, FALSE)</formula>
    </cfRule>
    <cfRule type="expression" priority="8" dxfId="158">
      <formula>IF(OR(#REF!="부분수용",#REF!= "불가"), TRUE, FALSE)</formula>
    </cfRule>
  </conditionalFormatting>
  <conditionalFormatting sqref="S6:T7">
    <cfRule type="expression" priority="1" dxfId="117">
      <formula>#REF!="중복"</formula>
    </cfRule>
    <cfRule type="expression" priority="2" dxfId="116">
      <formula>#REF!="확인중"</formula>
    </cfRule>
    <cfRule type="expression" priority="3" dxfId="115">
      <formula>#REF!="제외"</formula>
    </cfRule>
    <cfRule type="expression" priority="4" dxfId="114">
      <formula>#REF!="불가"</formula>
    </cfRule>
    <cfRule type="expression" priority="5" dxfId="113">
      <formula>#REF!="부분수용"</formula>
    </cfRule>
    <cfRule type="expression" priority="6" dxfId="112">
      <formula>#REF!="수용"</formula>
    </cfRule>
  </conditionalFormatting>
  <dataValidations count="4">
    <dataValidation sqref="R6:R9" showDropDown="0" showInputMessage="1" showErrorMessage="1" allowBlank="1" type="list">
      <formula1>"기능,비기능(품질),인터페이스,기술인프라,기타"</formula1>
    </dataValidation>
    <dataValidation sqref="I6:I9" showDropDown="0" showInputMessage="1" showErrorMessage="1" allowBlank="1" type="list">
      <formula1>"추가,내용변경,삭제"</formula1>
    </dataValidation>
    <dataValidation sqref="J6:J9" showDropDown="0" showInputMessage="1" showErrorMessage="1" allowBlank="1" type="list">
      <formula1>"완료,진행중"</formula1>
    </dataValidation>
    <dataValidation sqref="S6:S9" showDropDown="0" showInputMessage="1" showErrorMessage="1" allowBlank="1" type="list">
      <formula1>"수용,부분수용,불가,제외,확인중,중복"</formula1>
    </dataValidation>
  </dataValidations>
  <pageMargins left="0.5905511811023623" right="0.5905511811023623" top="0.7874015748031497" bottom="0.5118110236220472" header="0.5118110236220472" footer="0.3149606299212598"/>
  <pageSetup orientation="landscape" paperSize="9" scale="50" fitToHeight="0"/>
  <headerFooter alignWithMargins="0">
    <oddHeader>&amp;L&amp;"바탕체,굵게"&amp;9 [PJ명] 그룹웨어 구축&amp;R&amp;"바탕체,굵게"&amp;9 PJ명_ANL03_요구사항정의 GAP분석서.xlsx</oddHeader>
    <oddFooter>&amp;L고객사명&amp;C&amp;"바탕체,보통"&amp;9 &amp;P / &amp;N&amp;R&amp;G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showGridLines="0" tabSelected="1" zoomScale="90" zoomScaleNormal="90" zoomScaleSheetLayoutView="130" workbookViewId="0">
      <pane xSplit="6" ySplit="5" topLeftCell="H6" activePane="bottomRight" state="frozen"/>
      <selection activeCell="C21" sqref="C21:D21"/>
      <selection pane="topRight" activeCell="C21" sqref="C21:D21"/>
      <selection pane="bottomLeft" activeCell="C21" sqref="C21:D21"/>
      <selection pane="bottomRight" activeCell="U5" sqref="U5"/>
    </sheetView>
  </sheetViews>
  <sheetFormatPr baseColWidth="8" defaultColWidth="8.9140625" defaultRowHeight="16"/>
  <cols>
    <col width="3.4140625" customWidth="1" style="9" min="1" max="1"/>
    <col width="9.33203125" customWidth="1" style="7" min="2" max="2"/>
    <col width="14.08203125" customWidth="1" style="9" min="3" max="3"/>
    <col width="12.83203125" customWidth="1" style="7" min="4" max="4"/>
    <col width="20.83203125" customWidth="1" style="7" min="5" max="5"/>
    <col width="28.83203125" customWidth="1" style="7" min="6" max="6"/>
    <col width="28.83203125" customWidth="1" style="8" min="7" max="8"/>
    <col width="6.4140625" customWidth="1" style="9" min="9" max="9"/>
    <col width="8.1640625" customWidth="1" style="9" min="10" max="10"/>
    <col width="10.08203125" customWidth="1" style="7" min="11" max="12"/>
    <col width="6.4140625" customWidth="1" style="7" min="13" max="13"/>
    <col width="9" customWidth="1" style="7" min="14" max="14"/>
    <col width="29.9140625" customWidth="1" style="7" min="15" max="15"/>
    <col width="6.4140625" customWidth="1" style="9" min="16" max="17"/>
    <col width="3.9140625" customWidth="1" style="9" min="18" max="18"/>
    <col width="4.4140625" bestFit="1" customWidth="1" style="9" min="19" max="19"/>
    <col width="10.6640625" customWidth="1" style="7" min="20" max="21"/>
    <col width="9.6640625" bestFit="1" customWidth="1" style="9" min="22" max="22"/>
    <col width="12" customWidth="1" style="7" min="23" max="23"/>
    <col width="8.9140625" customWidth="1" style="5" min="24" max="16384"/>
  </cols>
  <sheetData>
    <row r="1" ht="10" customHeight="1">
      <c r="A1" s="111" t="n"/>
      <c r="P1" s="5" t="n"/>
      <c r="Q1" s="5" t="n"/>
      <c r="R1" s="5" t="n"/>
      <c r="S1" s="5" t="n"/>
      <c r="T1" s="5" t="n"/>
      <c r="U1" s="5" t="n"/>
      <c r="V1" s="5" t="n"/>
      <c r="W1" s="5" t="n"/>
    </row>
    <row r="2" ht="24" customFormat="1" customHeight="1" s="6" thickBot="1">
      <c r="A2" s="112">
        <f>"▣ " &amp; RIGHT(CELL("filename",A1),LEN(CELL("filename",A1))-FIND("]",CELL("filename",A1))) &amp; " 요구사항정의서"</f>
        <v/>
      </c>
      <c r="B2" s="144" t="n"/>
      <c r="C2" s="144" t="n"/>
      <c r="D2" s="144" t="n"/>
      <c r="E2" s="144" t="n"/>
      <c r="F2" s="17" t="n"/>
      <c r="G2" s="18" t="n"/>
      <c r="H2" s="26" t="n"/>
      <c r="I2" s="19" t="n"/>
      <c r="J2" s="19" t="n"/>
      <c r="K2" s="20" t="n"/>
      <c r="L2" s="20" t="n"/>
      <c r="M2" s="20" t="n"/>
      <c r="N2" s="20" t="n"/>
      <c r="O2" s="21" t="n"/>
      <c r="P2" s="22" t="n"/>
      <c r="Q2" s="22" t="n"/>
      <c r="R2" s="19" t="n"/>
      <c r="S2" s="19" t="n"/>
      <c r="T2" s="20" t="inlineStr">
        <is>
          <t>▣ 작성자:</t>
        </is>
      </c>
      <c r="U2" s="21" t="inlineStr">
        <is>
          <t>강민석</t>
        </is>
      </c>
      <c r="V2" s="22" t="inlineStr">
        <is>
          <t>▣ 작성일:</t>
        </is>
      </c>
      <c r="W2" s="23" t="n">
        <v>46127</v>
      </c>
    </row>
    <row r="3" ht="3" customFormat="1" customHeight="1" s="6">
      <c r="A3" s="10" t="n"/>
      <c r="B3" s="13" t="n"/>
      <c r="C3" s="10" t="n"/>
      <c r="D3" s="10" t="n"/>
      <c r="E3" s="10" t="n"/>
      <c r="F3" s="11" t="n"/>
      <c r="G3" s="12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</row>
    <row r="4" ht="25" customFormat="1" customHeight="1" s="6">
      <c r="A4" s="113" t="inlineStr">
        <is>
          <t>요구사항 정의</t>
        </is>
      </c>
      <c r="B4" s="145" t="n"/>
      <c r="C4" s="145" t="n"/>
      <c r="D4" s="145" t="n"/>
      <c r="E4" s="145" t="n"/>
      <c r="F4" s="145" t="n"/>
      <c r="G4" s="145" t="n"/>
      <c r="H4" s="146" t="n"/>
      <c r="I4" s="147" t="inlineStr">
        <is>
          <t>변경 내역</t>
        </is>
      </c>
      <c r="J4" s="128" t="n"/>
      <c r="K4" s="128" t="n"/>
      <c r="L4" s="128" t="n"/>
      <c r="M4" s="128" t="n"/>
      <c r="N4" s="128" t="n"/>
      <c r="O4" s="128" t="n"/>
      <c r="P4" s="128" t="n"/>
      <c r="Q4" s="126" t="n"/>
      <c r="R4" s="147" t="inlineStr">
        <is>
          <t>기타</t>
        </is>
      </c>
      <c r="S4" s="128" t="n"/>
      <c r="T4" s="128" t="n"/>
      <c r="U4" s="128" t="n"/>
      <c r="V4" s="128" t="n"/>
      <c r="W4" s="126" t="n"/>
    </row>
    <row r="5" ht="43.5" customFormat="1" customHeight="1" s="6">
      <c r="A5" s="60" t="inlineStr">
        <is>
          <t>NO</t>
        </is>
      </c>
      <c r="B5" s="61" t="inlineStr">
        <is>
          <t>서브시스템</t>
        </is>
      </c>
      <c r="C5" s="62" t="inlineStr">
        <is>
          <t>요구사항 ID</t>
        </is>
      </c>
      <c r="D5" s="61" t="inlineStr">
        <is>
          <t>요구사항 구분</t>
        </is>
      </c>
      <c r="E5" s="61" t="inlineStr">
        <is>
          <t>요구사항</t>
        </is>
      </c>
      <c r="F5" s="61" t="inlineStr">
        <is>
          <t>요구사항 상세 설명</t>
        </is>
      </c>
      <c r="G5" s="61" t="inlineStr">
        <is>
          <t>매핑/GAP분석</t>
        </is>
      </c>
      <c r="H5" s="61" t="inlineStr">
        <is>
          <t>GAP대응방안</t>
        </is>
      </c>
      <c r="I5" s="61" t="inlineStr">
        <is>
          <t>변경
구분</t>
        </is>
      </c>
      <c r="J5" s="61" t="inlineStr">
        <is>
          <t>변경
완료 여부</t>
        </is>
      </c>
      <c r="K5" s="61" t="inlineStr">
        <is>
          <t>변경
시작일</t>
        </is>
      </c>
      <c r="L5" s="61" t="inlineStr">
        <is>
          <t>변경
완료일</t>
        </is>
      </c>
      <c r="M5" s="61" t="inlineStr">
        <is>
          <t>변경
요청자</t>
        </is>
      </c>
      <c r="N5" s="61" t="inlineStr">
        <is>
          <t>현재 적용된 
변경 버전</t>
        </is>
      </c>
      <c r="O5" s="61" t="inlineStr">
        <is>
          <t>변경 상세 내용
(변경일자 (변경 버전), 변경 상세 내용)</t>
        </is>
      </c>
      <c r="P5" s="61" t="inlineStr">
        <is>
          <t>변경
출처</t>
        </is>
      </c>
      <c r="Q5" s="61" t="inlineStr">
        <is>
          <t>변경
승인근거</t>
        </is>
      </c>
      <c r="R5" s="61" t="inlineStr">
        <is>
          <t>기능분류</t>
        </is>
      </c>
      <c r="S5" s="61" t="inlineStr">
        <is>
          <t>수용 
여부</t>
        </is>
      </c>
      <c r="T5" s="61" t="inlineStr">
        <is>
          <t>요구사항출처</t>
        </is>
      </c>
      <c r="U5" s="61" t="inlineStr">
        <is>
          <t>요구추적 출처</t>
        </is>
      </c>
      <c r="V5" s="61" t="inlineStr">
        <is>
          <t>관련부서</t>
        </is>
      </c>
      <c r="W5" s="63" t="inlineStr">
        <is>
          <t>비고</t>
        </is>
      </c>
    </row>
    <row r="6" ht="43.5" customHeight="1">
      <c r="A6" s="43">
        <f>ROW($A6)-5</f>
        <v/>
      </c>
      <c r="B6" s="43" t="inlineStr">
        <is>
          <t>전자결재</t>
        </is>
      </c>
      <c r="C6" s="52" t="inlineStr">
        <is>
          <t>REQ-WFW-001</t>
        </is>
      </c>
      <c r="D6" s="53" t="inlineStr">
        <is>
          <t>일반양식</t>
        </is>
      </c>
      <c r="E6" s="57" t="inlineStr">
        <is>
          <t>계열사간 결재</t>
        </is>
      </c>
      <c r="F6" s="56" t="inlineStr">
        <is>
          <t>계열사간 결재기능 제공 필수
(V1, V2간 사간결재)</t>
        </is>
      </c>
      <c r="G6" s="56" t="n"/>
      <c r="H6" s="56" t="n"/>
      <c r="I6" s="43" t="n"/>
      <c r="J6" s="43" t="n"/>
      <c r="K6" s="43" t="n"/>
      <c r="L6" s="43" t="n"/>
      <c r="M6" s="43" t="n"/>
      <c r="N6" s="43" t="n"/>
      <c r="O6" s="53" t="n"/>
      <c r="P6" s="43" t="n"/>
      <c r="Q6" s="43" t="n"/>
      <c r="R6" s="43" t="inlineStr">
        <is>
          <t>기능</t>
        </is>
      </c>
      <c r="S6" s="43" t="inlineStr">
        <is>
          <t>수용</t>
        </is>
      </c>
      <c r="T6" s="50" t="inlineStr">
        <is>
          <t>영업인수인계자료, 260311인터뷰</t>
        </is>
      </c>
      <c r="U6" s="43" t="n"/>
      <c r="V6" s="53" t="n"/>
      <c r="W6" s="53" t="n"/>
    </row>
    <row r="7" ht="72.5" customHeight="1">
      <c r="A7" s="43">
        <f>ROW($A7)-5</f>
        <v/>
      </c>
      <c r="B7" s="43" t="inlineStr">
        <is>
          <t>전자결재</t>
        </is>
      </c>
      <c r="C7" s="52" t="inlineStr">
        <is>
          <t>REQ-WFW-002</t>
        </is>
      </c>
      <c r="D7" s="53" t="inlineStr">
        <is>
          <t>일반양식</t>
        </is>
      </c>
      <c r="E7" s="57" t="inlineStr">
        <is>
          <t>일반양식 개발</t>
        </is>
      </c>
      <c r="F7" s="56" t="inlineStr">
        <is>
          <t>일반양식 15종 (미확정)</t>
        </is>
      </c>
      <c r="G7" s="56" t="inlineStr">
        <is>
          <t>일반양식 11종 증가 (총 26종)</t>
        </is>
      </c>
      <c r="H7" s="57" t="inlineStr">
        <is>
          <t>기간내 구현가능</t>
        </is>
      </c>
      <c r="I7" s="43" t="n"/>
      <c r="J7" s="43" t="n"/>
      <c r="K7" s="43" t="n"/>
      <c r="L7" s="43" t="n"/>
      <c r="M7" s="43" t="n"/>
      <c r="N7" s="43" t="n"/>
      <c r="O7" s="53" t="n"/>
      <c r="P7" s="43" t="n"/>
      <c r="Q7" s="43" t="n"/>
      <c r="R7" s="43" t="inlineStr">
        <is>
          <t>기능</t>
        </is>
      </c>
      <c r="S7" s="43" t="inlineStr">
        <is>
          <t>수용</t>
        </is>
      </c>
      <c r="T7" s="58" t="inlineStr">
        <is>
          <t>영업인수인계자료, 260312인터뷰</t>
        </is>
      </c>
      <c r="U7" s="43" t="inlineStr">
        <is>
          <t>011. UTI베트남_그룹웨어_회의록(전자결재2차)_20260407</t>
        </is>
      </c>
      <c r="V7" s="53" t="n"/>
      <c r="W7" s="53" t="n"/>
    </row>
    <row r="8" ht="43.5" customHeight="1">
      <c r="A8" s="43" t="n">
        <v>3</v>
      </c>
      <c r="B8" s="43" t="inlineStr">
        <is>
          <t>전자결재</t>
        </is>
      </c>
      <c r="C8" s="52" t="inlineStr">
        <is>
          <t>REQ-WFW-003</t>
        </is>
      </c>
      <c r="D8" s="53" t="inlineStr">
        <is>
          <t>일반양식</t>
        </is>
      </c>
      <c r="E8" s="57" t="inlineStr">
        <is>
          <t>다국어</t>
        </is>
      </c>
      <c r="F8" s="56" t="inlineStr">
        <is>
          <t>사용자별로 각자 언어로 표시되도록</t>
        </is>
      </c>
      <c r="G8" s="56" t="inlineStr">
        <is>
          <t>양식 포멧의 언어는 가능하나 본문내용의 언어는 변환 불가함</t>
        </is>
      </c>
      <c r="H8" s="57" t="n"/>
      <c r="I8" s="43" t="n"/>
      <c r="J8" s="43" t="n"/>
      <c r="K8" s="43" t="n"/>
      <c r="L8" s="43" t="n"/>
      <c r="M8" s="43" t="n"/>
      <c r="N8" s="43" t="n"/>
      <c r="O8" s="53" t="n"/>
      <c r="P8" s="43" t="n"/>
      <c r="Q8" s="43" t="n"/>
      <c r="R8" s="43" t="inlineStr">
        <is>
          <t>기능</t>
        </is>
      </c>
      <c r="S8" s="43" t="inlineStr">
        <is>
          <t>수용</t>
        </is>
      </c>
      <c r="T8" s="50" t="inlineStr">
        <is>
          <t>영업인수인계자료, 260313인터뷰</t>
        </is>
      </c>
      <c r="U8" s="43" t="n"/>
      <c r="V8" s="53" t="n"/>
      <c r="W8" s="53" t="n"/>
    </row>
    <row r="9" ht="96" customHeight="1">
      <c r="A9" s="43" t="n">
        <v>4</v>
      </c>
      <c r="B9" s="43" t="inlineStr">
        <is>
          <t>전자결재</t>
        </is>
      </c>
      <c r="C9" s="52" t="inlineStr">
        <is>
          <t>REQ-WFW-004</t>
        </is>
      </c>
      <c r="D9" s="48" t="inlineStr">
        <is>
          <t>[일반양식]법인카드 사용내역서</t>
        </is>
      </c>
      <c r="E9" s="48" t="inlineStr">
        <is>
          <t>양식개발</t>
        </is>
      </c>
      <c r="F9" s="48" t="inlineStr">
        <is>
          <t>양식개발</t>
        </is>
      </c>
      <c r="G9" s="48" t="inlineStr">
        <is>
          <t>개발</t>
        </is>
      </c>
      <c r="H9" s="48" t="inlineStr">
        <is>
          <t>없음</t>
        </is>
      </c>
      <c r="I9" s="43" t="n"/>
      <c r="J9" s="43" t="n"/>
      <c r="K9" s="43" t="n"/>
      <c r="L9" s="43" t="n"/>
      <c r="M9" s="43" t="n"/>
      <c r="N9" s="43" t="n"/>
      <c r="O9" s="53" t="n"/>
      <c r="P9" s="43" t="n"/>
      <c r="Q9" s="43" t="n"/>
      <c r="R9" s="59" t="inlineStr">
        <is>
          <t>기능</t>
        </is>
      </c>
      <c r="S9" s="59" t="inlineStr">
        <is>
          <t>수용</t>
        </is>
      </c>
      <c r="T9" s="48" t="inlineStr">
        <is>
          <t>011. UTI베트남_그룹웨어_회의록(전자결재2차)_20260407</t>
        </is>
      </c>
      <c r="U9" s="48" t="n"/>
      <c r="V9" s="53" t="n"/>
      <c r="W9" s="53" t="n"/>
    </row>
    <row r="10" ht="96" customHeight="1">
      <c r="A10" s="43" t="n">
        <v>5</v>
      </c>
      <c r="B10" s="43" t="inlineStr">
        <is>
          <t>전자결재</t>
        </is>
      </c>
      <c r="C10" s="52" t="inlineStr">
        <is>
          <t>REQ-WFW-005</t>
        </is>
      </c>
      <c r="D10" s="48" t="inlineStr">
        <is>
          <t>[일반양식]시행문</t>
        </is>
      </c>
      <c r="E10" s="48" t="inlineStr">
        <is>
          <t>양식개발</t>
        </is>
      </c>
      <c r="F10" s="48" t="inlineStr">
        <is>
          <t>양식개발</t>
        </is>
      </c>
      <c r="G10" s="48" t="inlineStr">
        <is>
          <t>개발</t>
        </is>
      </c>
      <c r="H10" s="48" t="inlineStr">
        <is>
          <t>없음</t>
        </is>
      </c>
      <c r="I10" s="43" t="n"/>
      <c r="J10" s="43" t="n"/>
      <c r="K10" s="43" t="n"/>
      <c r="L10" s="43" t="n"/>
      <c r="M10" s="43" t="n"/>
      <c r="N10" s="43" t="n"/>
      <c r="O10" s="53" t="n"/>
      <c r="P10" s="43" t="n"/>
      <c r="Q10" s="43" t="n"/>
      <c r="R10" s="59" t="inlineStr">
        <is>
          <t>기능</t>
        </is>
      </c>
      <c r="S10" s="59" t="inlineStr">
        <is>
          <t>수용</t>
        </is>
      </c>
      <c r="T10" s="48" t="inlineStr">
        <is>
          <t>011. UTI베트남_그룹웨어_회의록(전자결재2차)_20260407</t>
        </is>
      </c>
      <c r="U10" s="48" t="n"/>
      <c r="V10" s="53" t="n"/>
      <c r="W10" s="53" t="n"/>
    </row>
    <row r="11" ht="96" customHeight="1">
      <c r="A11" s="43" t="n">
        <v>6</v>
      </c>
      <c r="B11" s="43" t="inlineStr">
        <is>
          <t>전자결재</t>
        </is>
      </c>
      <c r="C11" s="52" t="inlineStr">
        <is>
          <t>REQ-WFW-006</t>
        </is>
      </c>
      <c r="D11" s="48" t="inlineStr">
        <is>
          <t>[일반양식]기안문</t>
        </is>
      </c>
      <c r="E11" s="48" t="inlineStr">
        <is>
          <t>양식개발</t>
        </is>
      </c>
      <c r="F11" s="48" t="inlineStr">
        <is>
          <t>양식개발</t>
        </is>
      </c>
      <c r="G11" s="48" t="inlineStr">
        <is>
          <t>개발</t>
        </is>
      </c>
      <c r="H11" s="48" t="inlineStr">
        <is>
          <t>없음</t>
        </is>
      </c>
      <c r="I11" s="59" t="n"/>
      <c r="J11" s="59" t="n"/>
      <c r="K11" s="48" t="n"/>
      <c r="L11" s="48" t="n"/>
      <c r="M11" s="48" t="n"/>
      <c r="N11" s="48" t="n"/>
      <c r="O11" s="48" t="n"/>
      <c r="P11" s="59" t="n"/>
      <c r="Q11" s="59" t="n"/>
      <c r="R11" s="59" t="inlineStr">
        <is>
          <t>기능</t>
        </is>
      </c>
      <c r="S11" s="59" t="inlineStr">
        <is>
          <t>수용</t>
        </is>
      </c>
      <c r="T11" s="48" t="inlineStr">
        <is>
          <t>011. UTI베트남_그룹웨어_회의록(전자결재2차)_20260407</t>
        </is>
      </c>
      <c r="U11" s="48" t="n"/>
      <c r="V11" s="59" t="n"/>
      <c r="W11" s="48" t="n"/>
    </row>
    <row r="12" ht="96" customHeight="1">
      <c r="A12" s="43" t="n">
        <v>7</v>
      </c>
      <c r="B12" s="43" t="inlineStr">
        <is>
          <t>전자결재</t>
        </is>
      </c>
      <c r="C12" s="52" t="inlineStr">
        <is>
          <t>REQ-WFW-007</t>
        </is>
      </c>
      <c r="D12" s="48" t="inlineStr">
        <is>
          <t>[일반양식]구매요청서</t>
        </is>
      </c>
      <c r="E12" s="48" t="inlineStr">
        <is>
          <t>양식개발</t>
        </is>
      </c>
      <c r="F12" s="48" t="inlineStr">
        <is>
          <t>양식개발</t>
        </is>
      </c>
      <c r="G12" s="48" t="inlineStr">
        <is>
          <t>개발</t>
        </is>
      </c>
      <c r="H12" s="48" t="inlineStr">
        <is>
          <t>없음</t>
        </is>
      </c>
      <c r="I12" s="59" t="n"/>
      <c r="J12" s="59" t="n"/>
      <c r="K12" s="48" t="n"/>
      <c r="L12" s="48" t="n"/>
      <c r="M12" s="48" t="n"/>
      <c r="N12" s="48" t="n"/>
      <c r="O12" s="48" t="n"/>
      <c r="P12" s="59" t="n"/>
      <c r="Q12" s="59" t="n"/>
      <c r="R12" s="59" t="inlineStr">
        <is>
          <t>기능</t>
        </is>
      </c>
      <c r="S12" s="59" t="inlineStr">
        <is>
          <t>수용</t>
        </is>
      </c>
      <c r="T12" s="48" t="inlineStr">
        <is>
          <t>011. UTI베트남_그룹웨어_회의록(전자결재2차)_20260407</t>
        </is>
      </c>
      <c r="U12" s="48" t="n"/>
      <c r="V12" s="59" t="n"/>
      <c r="W12" s="48" t="n"/>
    </row>
    <row r="13" ht="96" customHeight="1">
      <c r="A13" s="43" t="n">
        <v>8</v>
      </c>
      <c r="B13" s="43" t="inlineStr">
        <is>
          <t>전자결재</t>
        </is>
      </c>
      <c r="C13" s="52" t="inlineStr">
        <is>
          <t>REQ-WFW-008</t>
        </is>
      </c>
      <c r="D13" s="47" t="inlineStr">
        <is>
          <t>[일반양식]개인 비용 청구서</t>
        </is>
      </c>
      <c r="E13" s="48" t="inlineStr">
        <is>
          <t>양식개발</t>
        </is>
      </c>
      <c r="F13" s="48" t="inlineStr">
        <is>
          <t>양식개발</t>
        </is>
      </c>
      <c r="G13" s="48" t="inlineStr">
        <is>
          <t>개발</t>
        </is>
      </c>
      <c r="H13" s="48" t="inlineStr">
        <is>
          <t>없음</t>
        </is>
      </c>
      <c r="I13" s="59" t="n"/>
      <c r="J13" s="59" t="n"/>
      <c r="K13" s="48" t="n"/>
      <c r="L13" s="48" t="n"/>
      <c r="M13" s="48" t="n"/>
      <c r="N13" s="48" t="n"/>
      <c r="O13" s="48" t="n"/>
      <c r="P13" s="59" t="n"/>
      <c r="Q13" s="59" t="n"/>
      <c r="R13" s="59" t="inlineStr">
        <is>
          <t>기능</t>
        </is>
      </c>
      <c r="S13" s="59" t="inlineStr">
        <is>
          <t>수용</t>
        </is>
      </c>
      <c r="T13" s="48" t="inlineStr">
        <is>
          <t>011. UTI베트남_그룹웨어_회의록(전자결재2차)_20260407</t>
        </is>
      </c>
      <c r="U13" s="48" t="n"/>
      <c r="V13" s="59" t="n"/>
      <c r="W13" s="48" t="n"/>
    </row>
    <row r="14" ht="96" customHeight="1">
      <c r="A14" s="43" t="n">
        <v>9</v>
      </c>
      <c r="B14" s="43" t="inlineStr">
        <is>
          <t>전자결재</t>
        </is>
      </c>
      <c r="C14" s="52" t="inlineStr">
        <is>
          <t>REQ-WFW-009</t>
        </is>
      </c>
      <c r="D14" s="47" t="inlineStr">
        <is>
          <t>[일반양식]출장경비 내역서</t>
        </is>
      </c>
      <c r="E14" s="48" t="inlineStr">
        <is>
          <t>양식개발</t>
        </is>
      </c>
      <c r="F14" s="48" t="inlineStr">
        <is>
          <t>양식개발</t>
        </is>
      </c>
      <c r="G14" s="48" t="inlineStr">
        <is>
          <t>개발</t>
        </is>
      </c>
      <c r="H14" s="48" t="inlineStr">
        <is>
          <t>없음</t>
        </is>
      </c>
      <c r="I14" s="59" t="n"/>
      <c r="J14" s="59" t="n"/>
      <c r="K14" s="48" t="n"/>
      <c r="L14" s="48" t="n"/>
      <c r="M14" s="48" t="n"/>
      <c r="N14" s="48" t="n"/>
      <c r="O14" s="48" t="n"/>
      <c r="P14" s="59" t="n"/>
      <c r="Q14" s="59" t="n"/>
      <c r="R14" s="59" t="inlineStr">
        <is>
          <t>기능</t>
        </is>
      </c>
      <c r="S14" s="59" t="inlineStr">
        <is>
          <t>수용</t>
        </is>
      </c>
      <c r="T14" s="48" t="inlineStr">
        <is>
          <t>011. UTI베트남_그룹웨어_회의록(전자결재2차)_20260407</t>
        </is>
      </c>
      <c r="U14" s="48" t="n"/>
      <c r="V14" s="59" t="n"/>
      <c r="W14" s="48" t="n"/>
    </row>
    <row r="15" ht="96" customHeight="1">
      <c r="A15" s="43" t="n">
        <v>10</v>
      </c>
      <c r="B15" s="43" t="inlineStr">
        <is>
          <t>전자결재</t>
        </is>
      </c>
      <c r="C15" s="52" t="inlineStr">
        <is>
          <t>REQ-WFW-010</t>
        </is>
      </c>
      <c r="D15" s="47" t="inlineStr">
        <is>
          <t>[일반양식]업무협조전</t>
        </is>
      </c>
      <c r="E15" s="48" t="inlineStr">
        <is>
          <t>양식개발</t>
        </is>
      </c>
      <c r="F15" s="48" t="inlineStr">
        <is>
          <t>양식개발</t>
        </is>
      </c>
      <c r="G15" s="48" t="inlineStr">
        <is>
          <t>개발</t>
        </is>
      </c>
      <c r="H15" s="48" t="inlineStr">
        <is>
          <t>없음</t>
        </is>
      </c>
      <c r="I15" s="59" t="n"/>
      <c r="J15" s="59" t="n"/>
      <c r="K15" s="48" t="n"/>
      <c r="L15" s="48" t="n"/>
      <c r="M15" s="48" t="n"/>
      <c r="N15" s="48" t="n"/>
      <c r="O15" s="48" t="n"/>
      <c r="P15" s="59" t="n"/>
      <c r="Q15" s="59" t="n"/>
      <c r="R15" s="59" t="inlineStr">
        <is>
          <t>기능</t>
        </is>
      </c>
      <c r="S15" s="59" t="inlineStr">
        <is>
          <t>수용</t>
        </is>
      </c>
      <c r="T15" s="48" t="inlineStr">
        <is>
          <t>011. UTI베트남_그룹웨어_회의록(전자결재2차)_20260407</t>
        </is>
      </c>
      <c r="U15" s="48" t="n"/>
      <c r="V15" s="59" t="n"/>
      <c r="W15" s="48" t="n"/>
    </row>
    <row r="16" ht="96" customHeight="1">
      <c r="A16" s="43" t="n">
        <v>11</v>
      </c>
      <c r="B16" s="43" t="inlineStr">
        <is>
          <t>전자결재</t>
        </is>
      </c>
      <c r="C16" s="52" t="inlineStr">
        <is>
          <t>REQ-WFW-011</t>
        </is>
      </c>
      <c r="D16" s="47" t="inlineStr">
        <is>
          <t>[일반양식]회의록</t>
        </is>
      </c>
      <c r="E16" s="48" t="inlineStr">
        <is>
          <t>양식개발</t>
        </is>
      </c>
      <c r="F16" s="48" t="inlineStr">
        <is>
          <t>양식개발</t>
        </is>
      </c>
      <c r="G16" s="48" t="inlineStr">
        <is>
          <t>개발</t>
        </is>
      </c>
      <c r="H16" s="48" t="inlineStr">
        <is>
          <t>없음</t>
        </is>
      </c>
      <c r="I16" s="59" t="n"/>
      <c r="J16" s="59" t="n"/>
      <c r="K16" s="48" t="n"/>
      <c r="L16" s="48" t="n"/>
      <c r="M16" s="48" t="n"/>
      <c r="N16" s="48" t="n"/>
      <c r="O16" s="48" t="n"/>
      <c r="P16" s="59" t="n"/>
      <c r="Q16" s="59" t="n"/>
      <c r="R16" s="59" t="inlineStr">
        <is>
          <t>기능</t>
        </is>
      </c>
      <c r="S16" s="59" t="inlineStr">
        <is>
          <t>수용</t>
        </is>
      </c>
      <c r="T16" s="48" t="inlineStr">
        <is>
          <t>011. UTI베트남_그룹웨어_회의록(전자결재2차)_20260407</t>
        </is>
      </c>
      <c r="U16" s="48" t="n"/>
      <c r="V16" s="59" t="n"/>
      <c r="W16" s="48" t="n"/>
    </row>
    <row r="17" ht="96" customHeight="1">
      <c r="A17" s="43" t="n">
        <v>12</v>
      </c>
      <c r="B17" s="43" t="inlineStr">
        <is>
          <t>전자결재</t>
        </is>
      </c>
      <c r="C17" s="52" t="inlineStr">
        <is>
          <t>REQ-WFW-012</t>
        </is>
      </c>
      <c r="D17" s="47" t="inlineStr">
        <is>
          <t>[일반양식]물품지급요청서</t>
        </is>
      </c>
      <c r="E17" s="48" t="inlineStr">
        <is>
          <t>양식개발</t>
        </is>
      </c>
      <c r="F17" s="48" t="inlineStr">
        <is>
          <t>양식개발</t>
        </is>
      </c>
      <c r="G17" s="48" t="inlineStr">
        <is>
          <t>개발</t>
        </is>
      </c>
      <c r="H17" s="48" t="inlineStr">
        <is>
          <t>없음</t>
        </is>
      </c>
      <c r="I17" s="59" t="n"/>
      <c r="J17" s="59" t="n"/>
      <c r="K17" s="48" t="n"/>
      <c r="L17" s="48" t="n"/>
      <c r="M17" s="48" t="n"/>
      <c r="N17" s="48" t="n"/>
      <c r="O17" s="48" t="n"/>
      <c r="P17" s="59" t="n"/>
      <c r="Q17" s="59" t="n"/>
      <c r="R17" s="59" t="inlineStr">
        <is>
          <t>기능</t>
        </is>
      </c>
      <c r="S17" s="59" t="inlineStr">
        <is>
          <t>수용</t>
        </is>
      </c>
      <c r="T17" s="48" t="inlineStr">
        <is>
          <t>011. UTI베트남_그룹웨어_회의록(전자결재2차)_20260407</t>
        </is>
      </c>
      <c r="U17" s="48" t="n"/>
      <c r="V17" s="59" t="n"/>
      <c r="W17" s="48" t="n"/>
    </row>
    <row r="18" ht="96" customHeight="1">
      <c r="A18" s="43" t="n">
        <v>13</v>
      </c>
      <c r="B18" s="43" t="inlineStr">
        <is>
          <t>전자결재</t>
        </is>
      </c>
      <c r="C18" s="52" t="inlineStr">
        <is>
          <t>REQ-WFW-013</t>
        </is>
      </c>
      <c r="D18" s="47" t="inlineStr">
        <is>
          <t>[일반양식]ERP 계정 및 권한 신청서</t>
        </is>
      </c>
      <c r="E18" s="48" t="inlineStr">
        <is>
          <t>양식개발</t>
        </is>
      </c>
      <c r="F18" s="48" t="inlineStr">
        <is>
          <t>양식개발</t>
        </is>
      </c>
      <c r="G18" s="48" t="inlineStr">
        <is>
          <t>개발</t>
        </is>
      </c>
      <c r="H18" s="48" t="inlineStr">
        <is>
          <t>없음</t>
        </is>
      </c>
      <c r="I18" s="59" t="n"/>
      <c r="J18" s="59" t="n"/>
      <c r="K18" s="48" t="n"/>
      <c r="L18" s="48" t="n"/>
      <c r="M18" s="48" t="n"/>
      <c r="N18" s="48" t="n"/>
      <c r="O18" s="48" t="n"/>
      <c r="P18" s="59" t="n"/>
      <c r="Q18" s="59" t="n"/>
      <c r="R18" s="59" t="inlineStr">
        <is>
          <t>기능</t>
        </is>
      </c>
      <c r="S18" s="59" t="inlineStr">
        <is>
          <t>수용</t>
        </is>
      </c>
      <c r="T18" s="48" t="inlineStr">
        <is>
          <t>011. UTI베트남_그룹웨어_회의록(전자결재2차)_20260407</t>
        </is>
      </c>
      <c r="U18" s="48" t="n"/>
      <c r="V18" s="59" t="n"/>
      <c r="W18" s="48" t="n"/>
    </row>
    <row r="19" ht="96" customHeight="1">
      <c r="A19" s="43" t="n">
        <v>14</v>
      </c>
      <c r="B19" s="43" t="inlineStr">
        <is>
          <t>전자결재</t>
        </is>
      </c>
      <c r="C19" s="52" t="inlineStr">
        <is>
          <t>REQ-WFW-014</t>
        </is>
      </c>
      <c r="D19" s="47" t="inlineStr">
        <is>
          <t>[일반양식]ERP 데이터 변경 요청서</t>
        </is>
      </c>
      <c r="E19" s="48" t="inlineStr">
        <is>
          <t>양식개발</t>
        </is>
      </c>
      <c r="F19" s="48" t="inlineStr">
        <is>
          <t>양식개발</t>
        </is>
      </c>
      <c r="G19" s="48" t="inlineStr">
        <is>
          <t>개발</t>
        </is>
      </c>
      <c r="H19" s="48" t="inlineStr">
        <is>
          <t>없음</t>
        </is>
      </c>
      <c r="I19" s="59" t="n"/>
      <c r="J19" s="59" t="n"/>
      <c r="K19" s="47" t="n"/>
      <c r="L19" s="47" t="n"/>
      <c r="M19" s="47" t="n"/>
      <c r="N19" s="47" t="n"/>
      <c r="O19" s="47" t="n"/>
      <c r="P19" s="59" t="n"/>
      <c r="Q19" s="59" t="n"/>
      <c r="R19" s="59" t="inlineStr">
        <is>
          <t>기능</t>
        </is>
      </c>
      <c r="S19" s="59" t="inlineStr">
        <is>
          <t>수용</t>
        </is>
      </c>
      <c r="T19" s="48" t="inlineStr">
        <is>
          <t>011. UTI베트남_그룹웨어_회의록(전자결재2차)_20260407</t>
        </is>
      </c>
      <c r="U19" s="48" t="n"/>
      <c r="V19" s="59" t="n"/>
      <c r="W19" s="47" t="n"/>
    </row>
    <row r="20" ht="96" customHeight="1">
      <c r="A20" s="43" t="n">
        <v>15</v>
      </c>
      <c r="B20" s="43" t="inlineStr">
        <is>
          <t>전자결재</t>
        </is>
      </c>
      <c r="C20" s="52" t="inlineStr">
        <is>
          <t>REQ-WFW-015</t>
        </is>
      </c>
      <c r="D20" s="47" t="inlineStr">
        <is>
          <t>[일반양식]휴가신청서</t>
        </is>
      </c>
      <c r="E20" s="48" t="inlineStr">
        <is>
          <t>양식개발</t>
        </is>
      </c>
      <c r="F20" s="48" t="inlineStr">
        <is>
          <t>양식개발</t>
        </is>
      </c>
      <c r="G20" s="48" t="inlineStr">
        <is>
          <t>개발</t>
        </is>
      </c>
      <c r="H20" s="48" t="inlineStr">
        <is>
          <t>없음</t>
        </is>
      </c>
      <c r="I20" s="59" t="n"/>
      <c r="J20" s="59" t="n"/>
      <c r="K20" s="47" t="n"/>
      <c r="L20" s="47" t="n"/>
      <c r="M20" s="47" t="n"/>
      <c r="N20" s="47" t="n"/>
      <c r="O20" s="47" t="n"/>
      <c r="P20" s="59" t="n"/>
      <c r="Q20" s="59" t="n"/>
      <c r="R20" s="59" t="inlineStr">
        <is>
          <t>기능</t>
        </is>
      </c>
      <c r="S20" s="59" t="inlineStr">
        <is>
          <t>수용</t>
        </is>
      </c>
      <c r="T20" s="48" t="inlineStr">
        <is>
          <t>011. UTI베트남_그룹웨어_회의록(전자결재2차)_20260407</t>
        </is>
      </c>
      <c r="U20" s="48" t="n"/>
      <c r="V20" s="59" t="n"/>
      <c r="W20" s="47" t="n"/>
    </row>
    <row r="21" ht="96" customHeight="1">
      <c r="A21" s="43" t="n">
        <v>16</v>
      </c>
      <c r="B21" s="43" t="inlineStr">
        <is>
          <t>전자결재</t>
        </is>
      </c>
      <c r="C21" s="52" t="inlineStr">
        <is>
          <t>REQ-WFW-016</t>
        </is>
      </c>
      <c r="D21" s="47" t="inlineStr">
        <is>
          <t>[일반양식]법인카드 사용신청서</t>
        </is>
      </c>
      <c r="E21" s="48" t="inlineStr">
        <is>
          <t>양식개발</t>
        </is>
      </c>
      <c r="F21" s="48" t="inlineStr">
        <is>
          <t>양식개발</t>
        </is>
      </c>
      <c r="G21" s="48" t="inlineStr">
        <is>
          <t>개발</t>
        </is>
      </c>
      <c r="H21" s="48" t="inlineStr">
        <is>
          <t>없음</t>
        </is>
      </c>
      <c r="I21" s="59" t="n"/>
      <c r="J21" s="59" t="n"/>
      <c r="K21" s="47" t="n"/>
      <c r="L21" s="47" t="n"/>
      <c r="M21" s="47" t="n"/>
      <c r="N21" s="47" t="n"/>
      <c r="O21" s="47" t="n"/>
      <c r="P21" s="59" t="n"/>
      <c r="Q21" s="59" t="n"/>
      <c r="R21" s="59" t="inlineStr">
        <is>
          <t>기능</t>
        </is>
      </c>
      <c r="S21" s="59" t="inlineStr">
        <is>
          <t>수용</t>
        </is>
      </c>
      <c r="T21" s="48" t="inlineStr">
        <is>
          <t>011. UTI베트남_그룹웨어_회의록(전자결재2차)_20260407</t>
        </is>
      </c>
      <c r="U21" s="48" t="n"/>
      <c r="V21" s="59" t="n"/>
      <c r="W21" s="47" t="n"/>
    </row>
    <row r="22" ht="96" customHeight="1">
      <c r="A22" s="43" t="n">
        <v>17</v>
      </c>
      <c r="B22" s="43" t="inlineStr">
        <is>
          <t>전자결재</t>
        </is>
      </c>
      <c r="C22" s="52" t="inlineStr">
        <is>
          <t>REQ-WFW-017</t>
        </is>
      </c>
      <c r="D22" s="47" t="inlineStr">
        <is>
          <t>[일반양식]직원 충원요청서</t>
        </is>
      </c>
      <c r="E22" s="48" t="inlineStr">
        <is>
          <t>양식개발</t>
        </is>
      </c>
      <c r="F22" s="48" t="inlineStr">
        <is>
          <t>양식개발</t>
        </is>
      </c>
      <c r="G22" s="48" t="inlineStr">
        <is>
          <t>개발</t>
        </is>
      </c>
      <c r="H22" s="48" t="inlineStr">
        <is>
          <t>없음</t>
        </is>
      </c>
      <c r="I22" s="59" t="n"/>
      <c r="J22" s="59" t="n"/>
      <c r="K22" s="47" t="n"/>
      <c r="L22" s="47" t="n"/>
      <c r="M22" s="47" t="n"/>
      <c r="N22" s="47" t="n"/>
      <c r="O22" s="47" t="n"/>
      <c r="P22" s="59" t="n"/>
      <c r="Q22" s="59" t="n"/>
      <c r="R22" s="59" t="inlineStr">
        <is>
          <t>기능</t>
        </is>
      </c>
      <c r="S22" s="59" t="inlineStr">
        <is>
          <t>수용</t>
        </is>
      </c>
      <c r="T22" s="48" t="inlineStr">
        <is>
          <t>011. UTI베트남_그룹웨어_회의록(전자결재2차)_20260407</t>
        </is>
      </c>
      <c r="U22" s="48" t="n"/>
      <c r="V22" s="59" t="n"/>
      <c r="W22" s="47" t="n"/>
    </row>
    <row r="23" ht="96" customHeight="1">
      <c r="A23" s="43" t="n">
        <v>18</v>
      </c>
      <c r="B23" s="43" t="inlineStr">
        <is>
          <t>전자결재</t>
        </is>
      </c>
      <c r="C23" s="52" t="inlineStr">
        <is>
          <t>REQ-WFW-018</t>
        </is>
      </c>
      <c r="D23" s="47" t="inlineStr">
        <is>
          <t>[일반양식]출장/연수 신청서</t>
        </is>
      </c>
      <c r="E23" s="48" t="inlineStr">
        <is>
          <t>양식개발</t>
        </is>
      </c>
      <c r="F23" s="48" t="inlineStr">
        <is>
          <t>양식개발</t>
        </is>
      </c>
      <c r="G23" s="48" t="inlineStr">
        <is>
          <t>개발</t>
        </is>
      </c>
      <c r="H23" s="48" t="inlineStr">
        <is>
          <t>없음</t>
        </is>
      </c>
      <c r="I23" s="59" t="n"/>
      <c r="J23" s="59" t="n"/>
      <c r="K23" s="47" t="n"/>
      <c r="L23" s="47" t="n"/>
      <c r="M23" s="47" t="n"/>
      <c r="N23" s="47" t="n"/>
      <c r="O23" s="47" t="n"/>
      <c r="P23" s="59" t="n"/>
      <c r="Q23" s="59" t="n"/>
      <c r="R23" s="59" t="inlineStr">
        <is>
          <t>기능</t>
        </is>
      </c>
      <c r="S23" s="59" t="inlineStr">
        <is>
          <t>수용</t>
        </is>
      </c>
      <c r="T23" s="48" t="inlineStr">
        <is>
          <t>011. UTI베트남_그룹웨어_회의록(전자결재2차)_20260407</t>
        </is>
      </c>
      <c r="U23" s="48" t="n"/>
      <c r="V23" s="59" t="n"/>
      <c r="W23" s="47" t="n"/>
    </row>
    <row r="24" ht="96" customHeight="1">
      <c r="A24" s="43" t="n">
        <v>19</v>
      </c>
      <c r="B24" s="43" t="inlineStr">
        <is>
          <t>전자결재</t>
        </is>
      </c>
      <c r="C24" s="52" t="inlineStr">
        <is>
          <t>REQ-WFW-019</t>
        </is>
      </c>
      <c r="D24" s="47" t="inlineStr">
        <is>
          <t>[일반양식]경조비 지급 신청서</t>
        </is>
      </c>
      <c r="E24" s="48" t="inlineStr">
        <is>
          <t>양식개발</t>
        </is>
      </c>
      <c r="F24" s="48" t="inlineStr">
        <is>
          <t>양식개발</t>
        </is>
      </c>
      <c r="G24" s="48" t="inlineStr">
        <is>
          <t>개발</t>
        </is>
      </c>
      <c r="H24" s="48" t="inlineStr">
        <is>
          <t>없음</t>
        </is>
      </c>
      <c r="I24" s="59" t="n"/>
      <c r="J24" s="59" t="n"/>
      <c r="K24" s="47" t="n"/>
      <c r="L24" s="47" t="n"/>
      <c r="M24" s="47" t="n"/>
      <c r="N24" s="47" t="n"/>
      <c r="O24" s="47" t="n"/>
      <c r="P24" s="59" t="n"/>
      <c r="Q24" s="59" t="n"/>
      <c r="R24" s="59" t="inlineStr">
        <is>
          <t>기능</t>
        </is>
      </c>
      <c r="S24" s="59" t="inlineStr">
        <is>
          <t>수용</t>
        </is>
      </c>
      <c r="T24" s="48" t="inlineStr">
        <is>
          <t>011. UTI베트남_그룹웨어_회의록(전자결재2차)_20260407</t>
        </is>
      </c>
      <c r="U24" s="48" t="n"/>
      <c r="V24" s="59" t="n"/>
      <c r="W24" s="47" t="n"/>
    </row>
    <row r="25" ht="96" customHeight="1">
      <c r="A25" s="43" t="n">
        <v>20</v>
      </c>
      <c r="B25" s="43" t="inlineStr">
        <is>
          <t>전자결재</t>
        </is>
      </c>
      <c r="C25" s="52" t="inlineStr">
        <is>
          <t>REQ-WFW-020</t>
        </is>
      </c>
      <c r="D25" s="47" t="inlineStr">
        <is>
          <t>[일반양식]교육신청서</t>
        </is>
      </c>
      <c r="E25" s="48" t="inlineStr">
        <is>
          <t>양식개발</t>
        </is>
      </c>
      <c r="F25" s="48" t="inlineStr">
        <is>
          <t>양식개발</t>
        </is>
      </c>
      <c r="G25" s="48" t="inlineStr">
        <is>
          <t>개발</t>
        </is>
      </c>
      <c r="H25" s="48" t="inlineStr">
        <is>
          <t>없음</t>
        </is>
      </c>
      <c r="I25" s="59" t="n"/>
      <c r="J25" s="59" t="n"/>
      <c r="K25" s="47" t="n"/>
      <c r="L25" s="47" t="n"/>
      <c r="M25" s="47" t="n"/>
      <c r="N25" s="47" t="n"/>
      <c r="O25" s="47" t="n"/>
      <c r="P25" s="59" t="n"/>
      <c r="Q25" s="59" t="n"/>
      <c r="R25" s="59" t="inlineStr">
        <is>
          <t>기능</t>
        </is>
      </c>
      <c r="S25" s="59" t="inlineStr">
        <is>
          <t>수용</t>
        </is>
      </c>
      <c r="T25" s="48" t="inlineStr">
        <is>
          <t>011. UTI베트남_그룹웨어_회의록(전자결재2차)_20260407</t>
        </is>
      </c>
      <c r="U25" s="48" t="n"/>
      <c r="V25" s="59" t="n"/>
      <c r="W25" s="47" t="n"/>
    </row>
    <row r="26" ht="96" customHeight="1">
      <c r="A26" s="43" t="n">
        <v>21</v>
      </c>
      <c r="B26" s="43" t="inlineStr">
        <is>
          <t>전자결재</t>
        </is>
      </c>
      <c r="C26" s="52" t="inlineStr">
        <is>
          <t>REQ-WFW-021</t>
        </is>
      </c>
      <c r="D26" s="47" t="inlineStr">
        <is>
          <t>[일반양식]부서이동요청서</t>
        </is>
      </c>
      <c r="E26" s="48" t="inlineStr">
        <is>
          <t>양식개발</t>
        </is>
      </c>
      <c r="F26" s="48" t="inlineStr">
        <is>
          <t>양식개발</t>
        </is>
      </c>
      <c r="G26" s="48" t="inlineStr">
        <is>
          <t>개발</t>
        </is>
      </c>
      <c r="H26" s="48" t="inlineStr">
        <is>
          <t>없음</t>
        </is>
      </c>
      <c r="I26" s="59" t="n"/>
      <c r="J26" s="59" t="n"/>
      <c r="K26" s="47" t="n"/>
      <c r="L26" s="47" t="n"/>
      <c r="M26" s="47" t="n"/>
      <c r="N26" s="47" t="n"/>
      <c r="O26" s="47" t="n"/>
      <c r="P26" s="59" t="n"/>
      <c r="Q26" s="59" t="n"/>
      <c r="R26" s="59" t="inlineStr">
        <is>
          <t>기능</t>
        </is>
      </c>
      <c r="S26" s="59" t="inlineStr">
        <is>
          <t>수용</t>
        </is>
      </c>
      <c r="T26" s="48" t="inlineStr">
        <is>
          <t>011. UTI베트남_그룹웨어_회의록(전자결재2차)_20260407</t>
        </is>
      </c>
      <c r="U26" s="48" t="n"/>
      <c r="V26" s="59" t="n"/>
      <c r="W26" s="47" t="n"/>
    </row>
    <row r="27" ht="96" customHeight="1">
      <c r="A27" s="43" t="n">
        <v>22</v>
      </c>
      <c r="B27" s="43" t="inlineStr">
        <is>
          <t>전자결재</t>
        </is>
      </c>
      <c r="C27" s="52" t="inlineStr">
        <is>
          <t>REQ-WFW-022</t>
        </is>
      </c>
      <c r="D27" s="47" t="inlineStr">
        <is>
          <t>[일반양식]사직서</t>
        </is>
      </c>
      <c r="E27" s="48" t="inlineStr">
        <is>
          <t>양식개발</t>
        </is>
      </c>
      <c r="F27" s="48" t="inlineStr">
        <is>
          <t>양식개발</t>
        </is>
      </c>
      <c r="G27" s="48" t="inlineStr">
        <is>
          <t>개발</t>
        </is>
      </c>
      <c r="H27" s="48" t="inlineStr">
        <is>
          <t>없음</t>
        </is>
      </c>
      <c r="I27" s="59" t="n"/>
      <c r="J27" s="59" t="n"/>
      <c r="K27" s="47" t="n"/>
      <c r="L27" s="47" t="n"/>
      <c r="M27" s="47" t="n"/>
      <c r="N27" s="47" t="n"/>
      <c r="O27" s="47" t="n"/>
      <c r="P27" s="59" t="n"/>
      <c r="Q27" s="59" t="n"/>
      <c r="R27" s="59" t="inlineStr">
        <is>
          <t>기능</t>
        </is>
      </c>
      <c r="S27" s="59" t="inlineStr">
        <is>
          <t>수용</t>
        </is>
      </c>
      <c r="T27" s="48" t="inlineStr">
        <is>
          <t>011. UTI베트남_그룹웨어_회의록(전자결재2차)_20260407</t>
        </is>
      </c>
      <c r="U27" s="48" t="n"/>
      <c r="V27" s="59" t="n"/>
      <c r="W27" s="47" t="n"/>
    </row>
    <row r="28" ht="96" customHeight="1">
      <c r="A28" s="43" t="n">
        <v>23</v>
      </c>
      <c r="B28" s="43" t="inlineStr">
        <is>
          <t>전자결재</t>
        </is>
      </c>
      <c r="C28" s="52" t="inlineStr">
        <is>
          <t>REQ-WFW-023</t>
        </is>
      </c>
      <c r="D28" s="47" t="inlineStr">
        <is>
          <t>[일반양식]USB 사용 신청서</t>
        </is>
      </c>
      <c r="E28" s="48" t="inlineStr">
        <is>
          <t>양식개발</t>
        </is>
      </c>
      <c r="F28" s="48" t="inlineStr">
        <is>
          <t>양식개발</t>
        </is>
      </c>
      <c r="G28" s="48" t="inlineStr">
        <is>
          <t>개발</t>
        </is>
      </c>
      <c r="H28" s="48" t="inlineStr">
        <is>
          <t>없음</t>
        </is>
      </c>
      <c r="I28" s="59" t="n"/>
      <c r="J28" s="59" t="n"/>
      <c r="K28" s="47" t="n"/>
      <c r="L28" s="47" t="n"/>
      <c r="M28" s="47" t="n"/>
      <c r="N28" s="47" t="n"/>
      <c r="O28" s="47" t="n"/>
      <c r="P28" s="59" t="n"/>
      <c r="Q28" s="59" t="n"/>
      <c r="R28" s="59" t="inlineStr">
        <is>
          <t>기능</t>
        </is>
      </c>
      <c r="S28" s="59" t="inlineStr">
        <is>
          <t>수용</t>
        </is>
      </c>
      <c r="T28" s="48" t="inlineStr">
        <is>
          <t>011. UTI베트남_그룹웨어_회의록(전자결재2차)_20260407</t>
        </is>
      </c>
      <c r="U28" s="48" t="n"/>
      <c r="V28" s="59" t="n"/>
      <c r="W28" s="47" t="n"/>
    </row>
    <row r="29" ht="96" customHeight="1">
      <c r="A29" s="43" t="n">
        <v>24</v>
      </c>
      <c r="B29" s="43" t="inlineStr">
        <is>
          <t>전자결재</t>
        </is>
      </c>
      <c r="C29" s="52" t="inlineStr">
        <is>
          <t>REQ-WFW-024</t>
        </is>
      </c>
      <c r="D29" s="47" t="inlineStr">
        <is>
          <t>[일반양식]회사 증명서 신청서</t>
        </is>
      </c>
      <c r="E29" s="48" t="inlineStr">
        <is>
          <t>양식개발</t>
        </is>
      </c>
      <c r="F29" s="48" t="inlineStr">
        <is>
          <t>양식개발</t>
        </is>
      </c>
      <c r="G29" s="48" t="inlineStr">
        <is>
          <t>개발</t>
        </is>
      </c>
      <c r="H29" s="48" t="inlineStr">
        <is>
          <t>없음</t>
        </is>
      </c>
      <c r="I29" s="59" t="n"/>
      <c r="J29" s="59" t="n"/>
      <c r="K29" s="47" t="n"/>
      <c r="L29" s="47" t="n"/>
      <c r="M29" s="47" t="n"/>
      <c r="N29" s="47" t="n"/>
      <c r="O29" s="47" t="n"/>
      <c r="P29" s="59" t="n"/>
      <c r="Q29" s="59" t="n"/>
      <c r="R29" s="59" t="inlineStr">
        <is>
          <t>기능</t>
        </is>
      </c>
      <c r="S29" s="59" t="inlineStr">
        <is>
          <t>수용</t>
        </is>
      </c>
      <c r="T29" s="48" t="inlineStr">
        <is>
          <t>011. UTI베트남_그룹웨어_회의록(전자결재2차)_20260407</t>
        </is>
      </c>
      <c r="U29" s="48" t="n"/>
      <c r="V29" s="59" t="n"/>
      <c r="W29" s="47" t="n"/>
    </row>
    <row r="30" ht="96" customHeight="1">
      <c r="A30" s="43" t="n">
        <v>25</v>
      </c>
      <c r="B30" s="43" t="inlineStr">
        <is>
          <t>전자결재</t>
        </is>
      </c>
      <c r="C30" s="52" t="inlineStr">
        <is>
          <t>REQ-WFW-025</t>
        </is>
      </c>
      <c r="D30" s="47" t="inlineStr">
        <is>
          <t>[일반양식]OT 및 특근확인서</t>
        </is>
      </c>
      <c r="E30" s="48" t="inlineStr">
        <is>
          <t>양식개발</t>
        </is>
      </c>
      <c r="F30" s="48" t="inlineStr">
        <is>
          <t>양식개발</t>
        </is>
      </c>
      <c r="G30" s="48" t="inlineStr">
        <is>
          <t>개발</t>
        </is>
      </c>
      <c r="H30" s="48" t="inlineStr">
        <is>
          <t>없음</t>
        </is>
      </c>
      <c r="I30" s="59" t="n"/>
      <c r="J30" s="59" t="n"/>
      <c r="K30" s="47" t="n"/>
      <c r="L30" s="47" t="n"/>
      <c r="M30" s="47" t="n"/>
      <c r="N30" s="47" t="n"/>
      <c r="O30" s="47" t="n"/>
      <c r="P30" s="59" t="n"/>
      <c r="Q30" s="59" t="n"/>
      <c r="R30" s="59" t="inlineStr">
        <is>
          <t>기능</t>
        </is>
      </c>
      <c r="S30" s="59" t="inlineStr">
        <is>
          <t>수용</t>
        </is>
      </c>
      <c r="T30" s="48" t="inlineStr">
        <is>
          <t>011. UTI베트남_그룹웨어_회의록(전자결재2차)_20260407</t>
        </is>
      </c>
      <c r="U30" s="48" t="n"/>
      <c r="V30" s="59" t="n"/>
      <c r="W30" s="47" t="n"/>
    </row>
    <row r="31" ht="96" customHeight="1">
      <c r="A31" s="43" t="n">
        <v>26</v>
      </c>
      <c r="B31" s="43" t="inlineStr">
        <is>
          <t>전자결재</t>
        </is>
      </c>
      <c r="C31" s="52" t="inlineStr">
        <is>
          <t>REQ-WFW-026</t>
        </is>
      </c>
      <c r="D31" s="47" t="inlineStr">
        <is>
          <t>[일반양식]교육결과보고서</t>
        </is>
      </c>
      <c r="E31" s="48" t="inlineStr">
        <is>
          <t>양식개발</t>
        </is>
      </c>
      <c r="F31" s="48" t="inlineStr">
        <is>
          <t>양식개발</t>
        </is>
      </c>
      <c r="G31" s="48" t="inlineStr">
        <is>
          <t>개발</t>
        </is>
      </c>
      <c r="H31" s="48" t="inlineStr">
        <is>
          <t>없음</t>
        </is>
      </c>
      <c r="I31" s="59" t="n"/>
      <c r="J31" s="59" t="n"/>
      <c r="K31" s="47" t="n"/>
      <c r="L31" s="47" t="n"/>
      <c r="M31" s="47" t="n"/>
      <c r="N31" s="47" t="n"/>
      <c r="O31" s="47" t="n"/>
      <c r="P31" s="59" t="n"/>
      <c r="Q31" s="59" t="n"/>
      <c r="R31" s="59" t="inlineStr">
        <is>
          <t>기능</t>
        </is>
      </c>
      <c r="S31" s="59" t="inlineStr">
        <is>
          <t>수용</t>
        </is>
      </c>
      <c r="T31" s="48" t="inlineStr">
        <is>
          <t>011. UTI베트남_그룹웨어_회의록(전자결재2차)_20260407</t>
        </is>
      </c>
      <c r="U31" s="48" t="n"/>
      <c r="V31" s="59" t="n"/>
      <c r="W31" s="47" t="n"/>
    </row>
    <row r="32" ht="96" customHeight="1">
      <c r="A32" s="43" t="n">
        <v>27</v>
      </c>
      <c r="B32" s="43" t="inlineStr">
        <is>
          <t>전자결재</t>
        </is>
      </c>
      <c r="C32" s="52" t="inlineStr">
        <is>
          <t>REQ-WFW-027</t>
        </is>
      </c>
      <c r="D32" s="47" t="inlineStr">
        <is>
          <t>[일반양식]출장/연수 보고서</t>
        </is>
      </c>
      <c r="E32" s="48" t="inlineStr">
        <is>
          <t>양식개발</t>
        </is>
      </c>
      <c r="F32" s="48" t="inlineStr">
        <is>
          <t>양식개발</t>
        </is>
      </c>
      <c r="G32" s="48" t="inlineStr">
        <is>
          <t>개발</t>
        </is>
      </c>
      <c r="H32" s="48" t="inlineStr">
        <is>
          <t>없음</t>
        </is>
      </c>
      <c r="I32" s="59" t="n"/>
      <c r="J32" s="59" t="n"/>
      <c r="K32" s="47" t="n"/>
      <c r="L32" s="47" t="n"/>
      <c r="M32" s="47" t="n"/>
      <c r="N32" s="47" t="n"/>
      <c r="O32" s="47" t="n"/>
      <c r="P32" s="59" t="n"/>
      <c r="Q32" s="59" t="n"/>
      <c r="R32" s="59" t="inlineStr">
        <is>
          <t>기능</t>
        </is>
      </c>
      <c r="S32" s="59" t="inlineStr">
        <is>
          <t>수용</t>
        </is>
      </c>
      <c r="T32" s="48" t="inlineStr">
        <is>
          <t>011. UTI베트남_그룹웨어_회의록(전자결재2차)_20260407</t>
        </is>
      </c>
      <c r="U32" s="48" t="n"/>
      <c r="V32" s="59" t="n"/>
      <c r="W32" s="47" t="n"/>
    </row>
    <row r="33" ht="96" customHeight="1">
      <c r="A33" s="43" t="n">
        <v>28</v>
      </c>
      <c r="B33" s="43" t="inlineStr">
        <is>
          <t>전자결재</t>
        </is>
      </c>
      <c r="C33" s="52" t="inlineStr">
        <is>
          <t>REQ-WFW-028</t>
        </is>
      </c>
      <c r="D33" s="47" t="inlineStr">
        <is>
          <t>[일반양식]사고경위서</t>
        </is>
      </c>
      <c r="E33" s="48" t="inlineStr">
        <is>
          <t>양식개발</t>
        </is>
      </c>
      <c r="F33" s="48" t="inlineStr">
        <is>
          <t>양식개발</t>
        </is>
      </c>
      <c r="G33" s="48" t="inlineStr">
        <is>
          <t>개발</t>
        </is>
      </c>
      <c r="H33" s="48" t="inlineStr">
        <is>
          <t>없음</t>
        </is>
      </c>
      <c r="I33" s="59" t="n"/>
      <c r="J33" s="59" t="n"/>
      <c r="K33" s="47" t="n"/>
      <c r="L33" s="47" t="n"/>
      <c r="M33" s="47" t="n"/>
      <c r="N33" s="47" t="n"/>
      <c r="O33" s="47" t="n"/>
      <c r="P33" s="59" t="n"/>
      <c r="Q33" s="59" t="n"/>
      <c r="R33" s="59" t="inlineStr">
        <is>
          <t>기능</t>
        </is>
      </c>
      <c r="S33" s="59" t="inlineStr">
        <is>
          <t>수용</t>
        </is>
      </c>
      <c r="T33" s="48" t="inlineStr">
        <is>
          <t>011. UTI베트남_그룹웨어_회의록(전자결재2차)_20260407</t>
        </is>
      </c>
      <c r="U33" s="48" t="n"/>
      <c r="V33" s="59" t="n"/>
      <c r="W33" s="47" t="n"/>
    </row>
    <row r="34" ht="96" customHeight="1">
      <c r="A34" s="43" t="n">
        <v>29</v>
      </c>
      <c r="B34" s="43" t="inlineStr">
        <is>
          <t>전자결재</t>
        </is>
      </c>
      <c r="C34" s="52" t="inlineStr">
        <is>
          <t>REQ-WFW-029</t>
        </is>
      </c>
      <c r="D34" s="47" t="inlineStr">
        <is>
          <t>[일반양식]시말서</t>
        </is>
      </c>
      <c r="E34" s="48" t="inlineStr">
        <is>
          <t>양식개발</t>
        </is>
      </c>
      <c r="F34" s="48" t="inlineStr">
        <is>
          <t>양식개발</t>
        </is>
      </c>
      <c r="G34" s="48" t="inlineStr">
        <is>
          <t>개발</t>
        </is>
      </c>
      <c r="H34" s="48" t="inlineStr">
        <is>
          <t>없음</t>
        </is>
      </c>
      <c r="I34" s="59" t="n"/>
      <c r="J34" s="59" t="n"/>
      <c r="K34" s="47" t="n"/>
      <c r="L34" s="47" t="n"/>
      <c r="M34" s="47" t="n"/>
      <c r="N34" s="47" t="n"/>
      <c r="O34" s="47" t="n"/>
      <c r="P34" s="59" t="n"/>
      <c r="Q34" s="59" t="n"/>
      <c r="R34" s="59" t="inlineStr">
        <is>
          <t>기능</t>
        </is>
      </c>
      <c r="S34" s="59" t="inlineStr">
        <is>
          <t>수용</t>
        </is>
      </c>
      <c r="T34" s="48" t="inlineStr">
        <is>
          <t>011. UTI베트남_그룹웨어_회의록(전자결재2차)_20260407</t>
        </is>
      </c>
      <c r="U34" s="48" t="n"/>
      <c r="V34" s="59" t="n"/>
      <c r="W34" s="47" t="n"/>
    </row>
  </sheetData>
  <mergeCells count="5">
    <mergeCell ref="A4:H4"/>
    <mergeCell ref="A2:E2"/>
    <mergeCell ref="A1:O1"/>
    <mergeCell ref="R4:W4"/>
    <mergeCell ref="I4:Q4"/>
  </mergeCells>
  <conditionalFormatting sqref="A35:H92">
    <cfRule type="expression" priority="79" dxfId="1">
      <formula>IF($J35="제외", TRUE, FALSE)</formula>
    </cfRule>
    <cfRule type="expression" priority="80" dxfId="4">
      <formula>IF(OR($J35="부분수용", $J35="불가"), TRUE, FALSE)</formula>
    </cfRule>
  </conditionalFormatting>
  <conditionalFormatting sqref="S35:S92 U35:W92 V11:W34">
    <cfRule type="expression" priority="61" dxfId="1">
      <formula>IF($S11="제외", TRUE, FALSE)</formula>
    </cfRule>
    <cfRule type="expression" priority="62" dxfId="4">
      <formula>IF(OR($S11="부분수용", $S11="불가"), TRUE, FALSE)</formula>
    </cfRule>
  </conditionalFormatting>
  <conditionalFormatting sqref="T35:T92">
    <cfRule type="expression" priority="59" dxfId="1">
      <formula>IF($S35="제외", TRUE, FALSE)</formula>
    </cfRule>
    <cfRule type="expression" priority="60" dxfId="4">
      <formula>IF(OR($S35="부분수용", $S35="불가"), TRUE, FALSE)</formula>
    </cfRule>
  </conditionalFormatting>
  <conditionalFormatting sqref="I11:I92">
    <cfRule type="expression" priority="57" dxfId="1">
      <formula>IF(#REF!="제외", TRUE, FALSE)</formula>
    </cfRule>
    <cfRule type="expression" priority="58" dxfId="4">
      <formula>IF(OR(#REF!="부분수용", #REF!="불가"), TRUE, FALSE)</formula>
    </cfRule>
  </conditionalFormatting>
  <conditionalFormatting sqref="O11:O92 Q11:Q92">
    <cfRule type="expression" priority="55" dxfId="1">
      <formula>IF(#REF!="제외", TRUE, FALSE)</formula>
    </cfRule>
    <cfRule type="expression" priority="56" dxfId="4">
      <formula>IF(OR(#REF!="부분수용", #REF!="불가"), TRUE, FALSE)</formula>
    </cfRule>
  </conditionalFormatting>
  <conditionalFormatting sqref="K11:K92 M11:N92">
    <cfRule type="expression" priority="53" dxfId="1">
      <formula>IF(#REF!="제외", TRUE, FALSE)</formula>
    </cfRule>
    <cfRule type="expression" priority="54" dxfId="4">
      <formula>IF(OR(#REF!="부분수용", #REF!="불가"), TRUE, FALSE)</formula>
    </cfRule>
  </conditionalFormatting>
  <conditionalFormatting sqref="J11:J92">
    <cfRule type="expression" priority="49" dxfId="1">
      <formula>IF(#REF!="제외", TRUE, FALSE)</formula>
    </cfRule>
    <cfRule type="expression" priority="50" dxfId="4">
      <formula>IF(OR(#REF!="부분수용", #REF!="불가"), TRUE, FALSE)</formula>
    </cfRule>
  </conditionalFormatting>
  <conditionalFormatting sqref="L11:L92">
    <cfRule type="expression" priority="45" dxfId="1">
      <formula>IF(#REF!="제외", TRUE, FALSE)</formula>
    </cfRule>
    <cfRule type="expression" priority="46" dxfId="4">
      <formula>IF(OR(#REF!="부분수용", #REF!="불가"), TRUE, FALSE)</formula>
    </cfRule>
  </conditionalFormatting>
  <conditionalFormatting sqref="P11:P92">
    <cfRule type="expression" priority="43" dxfId="1">
      <formula>IF(#REF!="제외", TRUE, FALSE)</formula>
    </cfRule>
    <cfRule type="expression" priority="44" dxfId="4">
      <formula>IF(OR(#REF!="부분수용", #REF!="불가"), TRUE, FALSE)</formula>
    </cfRule>
  </conditionalFormatting>
  <conditionalFormatting sqref="R35:R92">
    <cfRule type="expression" priority="39" dxfId="1">
      <formula>IF($J35="제외", TRUE, FALSE)</formula>
    </cfRule>
    <cfRule type="expression" priority="40" dxfId="4">
      <formula>IF(OR($J35="부분수용", $J35="불가"), TRUE, FALSE)</formula>
    </cfRule>
  </conditionalFormatting>
  <conditionalFormatting sqref="V6:W10">
    <cfRule type="expression" priority="25" dxfId="1">
      <formula>IF($S6="제외", TRUE, FALSE)</formula>
    </cfRule>
    <cfRule type="expression" priority="26" dxfId="4">
      <formula>IF(OR($S6="부분수용", $S6="불가"), TRUE, FALSE)</formula>
    </cfRule>
  </conditionalFormatting>
  <conditionalFormatting sqref="I6:Q10">
    <cfRule type="expression" priority="21" dxfId="1">
      <formula>IF($S6="제외", TRUE, FALSE)</formula>
    </cfRule>
    <cfRule type="expression" priority="22" dxfId="4">
      <formula>IF(OR($S6="부분수용", $S6="불가"), TRUE, FALSE)</formula>
    </cfRule>
  </conditionalFormatting>
  <conditionalFormatting sqref="A6:H6 A7:F7 A8:H8 A9:C34">
    <cfRule type="expression" priority="17" dxfId="1">
      <formula>IF($J6="제외", TRUE, FALSE)</formula>
    </cfRule>
    <cfRule type="expression" priority="18" dxfId="0">
      <formula>IF(OR($J6="부분수용", $J6="불가"), TRUE, FALSE)</formula>
    </cfRule>
  </conditionalFormatting>
  <conditionalFormatting sqref="D9:H34">
    <cfRule type="expression" priority="19" dxfId="1">
      <formula>IF($J9="제외", TRUE, FALSE)</formula>
    </cfRule>
    <cfRule type="expression" priority="20" dxfId="0">
      <formula>IF(OR($J9="부분수용", $J9="불가"), TRUE, FALSE)</formula>
    </cfRule>
  </conditionalFormatting>
  <conditionalFormatting sqref="G7:H7">
    <cfRule type="expression" priority="15" dxfId="1">
      <formula>IF($J7="제외", TRUE, FALSE)</formula>
    </cfRule>
    <cfRule type="expression" priority="16" dxfId="4">
      <formula>IF(OR($J7="부분수용", $J7="불가"), TRUE, FALSE)</formula>
    </cfRule>
  </conditionalFormatting>
  <conditionalFormatting sqref="R6:S8">
    <cfRule type="expression" priority="9" dxfId="1">
      <formula>IF($J6="제외", TRUE, FALSE)</formula>
    </cfRule>
    <cfRule type="expression" priority="10" dxfId="0">
      <formula>IF(OR($J6="부분수용", $J6="불가"), TRUE, FALSE)</formula>
    </cfRule>
  </conditionalFormatting>
  <conditionalFormatting sqref="R9:T34">
    <cfRule type="expression" priority="13" dxfId="1">
      <formula>IF($J9="제외", TRUE, FALSE)</formula>
    </cfRule>
    <cfRule type="expression" priority="14" dxfId="0">
      <formula>IF(OR($J9="부분수용", $J9="불가"), TRUE, FALSE)</formula>
    </cfRule>
  </conditionalFormatting>
  <conditionalFormatting sqref="T6:T8">
    <cfRule type="expression" priority="3" dxfId="117">
      <formula>$O6="중복"</formula>
    </cfRule>
    <cfRule type="expression" priority="4" dxfId="116">
      <formula>$O6="확인중"</formula>
    </cfRule>
    <cfRule type="expression" priority="5" dxfId="115">
      <formula>$O6="제외"</formula>
    </cfRule>
    <cfRule type="expression" priority="6" dxfId="114">
      <formula>$O6="불가"</formula>
    </cfRule>
    <cfRule type="expression" priority="7" dxfId="113">
      <formula>$O6="부분수용"</formula>
    </cfRule>
    <cfRule type="expression" priority="8" dxfId="112">
      <formula>$O6="수용"</formula>
    </cfRule>
  </conditionalFormatting>
  <conditionalFormatting sqref="U6 U8:U34">
    <cfRule type="expression" priority="11" dxfId="1">
      <formula>IF($J6="제외", TRUE, FALSE)</formula>
    </cfRule>
    <cfRule type="expression" priority="12" dxfId="0">
      <formula>IF(OR($J6="부분수용", $J6="불가"), TRUE, FALSE)</formula>
    </cfRule>
  </conditionalFormatting>
  <conditionalFormatting sqref="U7">
    <cfRule type="expression" priority="1" dxfId="1">
      <formula>IF($J7="제외", TRUE, FALSE)</formula>
    </cfRule>
    <cfRule type="expression" priority="2" dxfId="4">
      <formula>IF(OR($J7="부분수용", $J7="불가"), TRUE, FALSE)</formula>
    </cfRule>
  </conditionalFormatting>
  <dataValidations count="4">
    <dataValidation sqref="S6:S8" showDropDown="0" showInputMessage="1" showErrorMessage="1" allowBlank="1" type="list">
      <formula1>"수용,부분수용,불가,제외"</formula1>
    </dataValidation>
    <dataValidation sqref="R6:R8" showDropDown="0" showInputMessage="1" showErrorMessage="1" allowBlank="1" type="list">
      <formula1>"기능,비기능(품질),인터페이스,기술인프라,기타"</formula1>
    </dataValidation>
    <dataValidation sqref="I6:I10" showDropDown="0" showInputMessage="1" showErrorMessage="1" allowBlank="1" type="list">
      <formula1>"추가,내용변경,삭제"</formula1>
    </dataValidation>
    <dataValidation sqref="J6:J10" showDropDown="0" showInputMessage="1" showErrorMessage="1" allowBlank="1" type="list">
      <formula1>"완료,진행중"</formula1>
    </dataValidation>
  </dataValidations>
  <pageMargins left="0.5905511811023623" right="0.5905511811023623" top="0.7874015748031497" bottom="0.5118110236220472" header="0.5118110236220472" footer="0.3149606299212598"/>
  <pageSetup orientation="landscape" paperSize="9" scale="50" fitToHeight="0"/>
  <headerFooter alignWithMargins="0">
    <oddHeader>&amp;L&amp;"바탕체,굵게"&amp;9 [PJ명] 그룹웨어 구축&amp;R&amp;"바탕체,굵게"&amp;9 PJ명_ANL03_요구사항정의 GAP분석서.xlsx</oddHeader>
    <oddFooter>&amp;L고객사명&amp;C&amp;"바탕체,보통"&amp;9 &amp;P / &amp;N&amp;R&amp;G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14"/>
  <sheetViews>
    <sheetView showGridLines="0" zoomScale="85" zoomScaleNormal="85" zoomScaleSheetLayoutView="130" workbookViewId="0">
      <pane xSplit="6" ySplit="5" topLeftCell="I6" activePane="bottomRight" state="frozen"/>
      <selection activeCell="C21" sqref="C21:D21"/>
      <selection pane="topRight" activeCell="C21" sqref="C21:D21"/>
      <selection pane="bottomLeft" activeCell="C21" sqref="C21:D21"/>
      <selection pane="bottomRight" activeCell="E13" sqref="E13"/>
    </sheetView>
  </sheetViews>
  <sheetFormatPr baseColWidth="8" defaultColWidth="8.9140625" defaultRowHeight="16"/>
  <cols>
    <col width="3.4140625" customWidth="1" style="9" min="1" max="1"/>
    <col width="7.4140625" customWidth="1" style="9" min="2" max="2"/>
    <col width="12.6640625" customWidth="1" style="9" min="3" max="3"/>
    <col width="12.83203125" customWidth="1" style="7" min="4" max="4"/>
    <col width="20.83203125" customWidth="1" style="7" min="5" max="5"/>
    <col width="28.83203125" customWidth="1" style="7" min="6" max="6"/>
    <col width="28.83203125" customWidth="1" style="8" min="7" max="8"/>
    <col width="6.4140625" customWidth="1" style="9" min="9" max="9"/>
    <col width="8.25" customWidth="1" style="9" min="10" max="10"/>
    <col width="10.08203125" customWidth="1" style="7" min="11" max="12"/>
    <col width="6.4140625" customWidth="1" style="7" min="13" max="13"/>
    <col width="11.6640625" customWidth="1" style="7" min="14" max="14"/>
    <col width="29.9140625" customWidth="1" style="7" min="15" max="15"/>
    <col width="6.4140625" customWidth="1" style="9" min="16" max="17"/>
    <col width="3.9140625" customWidth="1" style="9" min="18" max="18"/>
    <col width="4.4140625" bestFit="1" customWidth="1" style="9" min="19" max="19"/>
    <col width="10.6640625" customWidth="1" style="7" min="20" max="21"/>
    <col width="9.6640625" bestFit="1" customWidth="1" style="9" min="22" max="22"/>
    <col width="12" customWidth="1" style="7" min="23" max="23"/>
    <col width="8.9140625" customWidth="1" style="5" min="24" max="16384"/>
  </cols>
  <sheetData>
    <row r="1" ht="10" customHeight="1">
      <c r="A1" s="111" t="n"/>
      <c r="P1" s="5" t="n"/>
      <c r="Q1" s="5" t="n"/>
      <c r="R1" s="5" t="n"/>
      <c r="S1" s="5" t="n"/>
      <c r="T1" s="5" t="n"/>
      <c r="U1" s="5" t="n"/>
      <c r="V1" s="5" t="n"/>
      <c r="W1" s="5" t="n"/>
    </row>
    <row r="2" ht="24" customFormat="1" customHeight="1" s="6" thickBot="1">
      <c r="A2" s="112">
        <f>"▣ " &amp; RIGHT(CELL("filename",A1),LEN(CELL("filename",A1))-FIND("]",CELL("filename",A1))) &amp; " 요구사항정의서"</f>
        <v/>
      </c>
      <c r="B2" s="144" t="n"/>
      <c r="C2" s="144" t="n"/>
      <c r="D2" s="144" t="n"/>
      <c r="E2" s="144" t="n"/>
      <c r="F2" s="17" t="n"/>
      <c r="G2" s="18" t="n"/>
      <c r="H2" s="26" t="n"/>
      <c r="I2" s="19" t="n"/>
      <c r="J2" s="19" t="n"/>
      <c r="K2" s="20" t="n"/>
      <c r="L2" s="20" t="n"/>
      <c r="M2" s="20" t="n"/>
      <c r="N2" s="20" t="n"/>
      <c r="O2" s="21" t="n"/>
      <c r="P2" s="22" t="n"/>
      <c r="Q2" s="22" t="n"/>
      <c r="R2" s="19" t="n"/>
      <c r="S2" s="19" t="n"/>
      <c r="T2" s="20" t="inlineStr">
        <is>
          <t>▣ 작성자:</t>
        </is>
      </c>
      <c r="U2" s="21" t="inlineStr">
        <is>
          <t>강민석</t>
        </is>
      </c>
      <c r="V2" s="22" t="inlineStr">
        <is>
          <t>▣ 작성일:</t>
        </is>
      </c>
      <c r="W2" s="23" t="n">
        <v>46127</v>
      </c>
    </row>
    <row r="3" ht="3" customFormat="1" customHeight="1" s="6">
      <c r="A3" s="10" t="n"/>
      <c r="B3" s="10" t="n"/>
      <c r="C3" s="10" t="n"/>
      <c r="D3" s="10" t="n"/>
      <c r="E3" s="10" t="n"/>
      <c r="F3" s="11" t="n"/>
      <c r="G3" s="12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</row>
    <row r="4" ht="17.5" customFormat="1" customHeight="1" s="6">
      <c r="A4" s="113" t="inlineStr">
        <is>
          <t>요구사항 정의</t>
        </is>
      </c>
      <c r="B4" s="145" t="n"/>
      <c r="C4" s="145" t="n"/>
      <c r="D4" s="145" t="n"/>
      <c r="E4" s="145" t="n"/>
      <c r="F4" s="145" t="n"/>
      <c r="G4" s="145" t="n"/>
      <c r="H4" s="146" t="n"/>
      <c r="I4" s="147" t="inlineStr">
        <is>
          <t>변경 내역</t>
        </is>
      </c>
      <c r="J4" s="128" t="n"/>
      <c r="K4" s="128" t="n"/>
      <c r="L4" s="128" t="n"/>
      <c r="M4" s="128" t="n"/>
      <c r="N4" s="128" t="n"/>
      <c r="O4" s="128" t="n"/>
      <c r="P4" s="128" t="n"/>
      <c r="Q4" s="126" t="n"/>
      <c r="R4" s="147" t="inlineStr">
        <is>
          <t>기타</t>
        </is>
      </c>
      <c r="S4" s="128" t="n"/>
      <c r="T4" s="128" t="n"/>
      <c r="U4" s="128" t="n"/>
      <c r="V4" s="128" t="n"/>
      <c r="W4" s="126" t="n"/>
    </row>
    <row r="5" ht="44" customFormat="1" customHeight="1" s="6" thickBot="1">
      <c r="A5" s="14" t="inlineStr">
        <is>
          <t>NO</t>
        </is>
      </c>
      <c r="B5" s="25" t="inlineStr">
        <is>
          <t>서브시스템</t>
        </is>
      </c>
      <c r="C5" s="15" t="inlineStr">
        <is>
          <t>요구사항 ID</t>
        </is>
      </c>
      <c r="D5" s="25" t="inlineStr">
        <is>
          <t>요구사항 구분</t>
        </is>
      </c>
      <c r="E5" s="25" t="inlineStr">
        <is>
          <t>요구사항</t>
        </is>
      </c>
      <c r="F5" s="25" t="inlineStr">
        <is>
          <t>요구사항 상세 설명</t>
        </is>
      </c>
      <c r="G5" s="25" t="inlineStr">
        <is>
          <t>매핑/GAP분석</t>
        </is>
      </c>
      <c r="H5" s="25" t="inlineStr">
        <is>
          <t>GAP대응방안</t>
        </is>
      </c>
      <c r="I5" s="25" t="inlineStr">
        <is>
          <t>변경
구분</t>
        </is>
      </c>
      <c r="J5" s="25" t="inlineStr">
        <is>
          <t>변경
완료 여부</t>
        </is>
      </c>
      <c r="K5" s="25" t="inlineStr">
        <is>
          <t>변경
시작일</t>
        </is>
      </c>
      <c r="L5" s="25" t="inlineStr">
        <is>
          <t>변경
완료일</t>
        </is>
      </c>
      <c r="M5" s="25" t="inlineStr">
        <is>
          <t>변경
요청자</t>
        </is>
      </c>
      <c r="N5" s="25" t="inlineStr">
        <is>
          <t>현재 적용된 
변경 버전</t>
        </is>
      </c>
      <c r="O5" s="25" t="inlineStr">
        <is>
          <t>변경 상세 내용
(변경일자 (변경 버전), 변경 상세 내용)</t>
        </is>
      </c>
      <c r="P5" s="25" t="inlineStr">
        <is>
          <t>변경
출처</t>
        </is>
      </c>
      <c r="Q5" s="25" t="inlineStr">
        <is>
          <t>변경
승인근거</t>
        </is>
      </c>
      <c r="R5" s="25" t="inlineStr">
        <is>
          <t>기능분류</t>
        </is>
      </c>
      <c r="S5" s="25" t="inlineStr">
        <is>
          <t>수용 
여부</t>
        </is>
      </c>
      <c r="T5" s="25" t="inlineStr">
        <is>
          <t>요구사항출처</t>
        </is>
      </c>
      <c r="U5" s="25" t="inlineStr">
        <is>
          <t>요구추적 출처</t>
        </is>
      </c>
      <c r="V5" s="25" t="inlineStr">
        <is>
          <t>관련부서</t>
        </is>
      </c>
      <c r="W5" s="16" t="inlineStr">
        <is>
          <t>비고</t>
        </is>
      </c>
    </row>
    <row r="6" ht="43.5" customHeight="1">
      <c r="A6" s="64">
        <f>ROW($A6)-5</f>
        <v/>
      </c>
      <c r="B6" s="43" t="inlineStr">
        <is>
          <t>웹메일</t>
        </is>
      </c>
      <c r="C6" s="65" t="inlineStr">
        <is>
          <t>REQ-WML-001</t>
        </is>
      </c>
      <c r="D6" s="66" t="inlineStr">
        <is>
          <t>구성</t>
        </is>
      </c>
      <c r="E6" s="67" t="inlineStr">
        <is>
          <t>exchange 기반 웹메일 구성</t>
        </is>
      </c>
      <c r="F6" s="53" t="n"/>
      <c r="G6" s="53" t="n"/>
      <c r="H6" s="53" t="n"/>
      <c r="I6" s="43" t="n"/>
      <c r="J6" s="43" t="n"/>
      <c r="K6" s="43" t="n"/>
      <c r="L6" s="43" t="n"/>
      <c r="M6" s="43" t="n"/>
      <c r="N6" s="43" t="n"/>
      <c r="O6" s="53" t="n"/>
      <c r="P6" s="43" t="n"/>
      <c r="Q6" s="43" t="n"/>
      <c r="R6" s="43" t="inlineStr">
        <is>
          <t>기능</t>
        </is>
      </c>
      <c r="S6" s="43" t="inlineStr">
        <is>
          <t>수용</t>
        </is>
      </c>
      <c r="T6" s="43" t="inlineStr">
        <is>
          <t>영업인수인계자료, 260310인터뷰</t>
        </is>
      </c>
      <c r="U6" s="53" t="n"/>
      <c r="V6" s="53" t="n"/>
      <c r="W6" s="53" t="n"/>
    </row>
    <row r="7">
      <c r="D7" s="8" t="n"/>
      <c r="E7" s="8" t="n"/>
      <c r="F7" s="8" t="n"/>
      <c r="K7" s="8" t="n"/>
      <c r="L7" s="8" t="n"/>
      <c r="M7" s="8" t="n"/>
      <c r="N7" s="8" t="n"/>
      <c r="O7" s="8" t="n"/>
      <c r="T7" s="8" t="n"/>
      <c r="U7" s="8" t="n"/>
      <c r="W7" s="8" t="n"/>
    </row>
    <row r="8">
      <c r="D8" s="8" t="n"/>
      <c r="E8" s="8" t="n"/>
      <c r="F8" s="8" t="n"/>
      <c r="K8" s="8" t="n"/>
      <c r="L8" s="8" t="n"/>
      <c r="M8" s="8" t="n"/>
      <c r="N8" s="8" t="n"/>
      <c r="O8" s="8" t="n"/>
      <c r="T8" s="8" t="n"/>
      <c r="U8" s="8" t="n"/>
      <c r="W8" s="8" t="n"/>
    </row>
    <row r="9">
      <c r="D9" s="8" t="n"/>
      <c r="E9" s="8" t="n"/>
      <c r="F9" s="8" t="n"/>
      <c r="K9" s="8" t="n"/>
      <c r="L9" s="8" t="n"/>
      <c r="M9" s="8" t="n"/>
      <c r="N9" s="8" t="n"/>
      <c r="O9" s="8" t="n"/>
      <c r="T9" s="8" t="n"/>
      <c r="U9" s="8" t="n"/>
      <c r="W9" s="8" t="n"/>
    </row>
    <row r="10">
      <c r="D10" s="8" t="n"/>
      <c r="E10" s="8" t="n"/>
      <c r="F10" s="8" t="n"/>
      <c r="K10" s="8" t="n"/>
      <c r="L10" s="8" t="n"/>
      <c r="M10" s="8" t="n"/>
      <c r="N10" s="8" t="n"/>
      <c r="O10" s="8" t="n"/>
      <c r="T10" s="8" t="n"/>
      <c r="U10" s="8" t="n"/>
      <c r="W10" s="8" t="n"/>
    </row>
    <row r="11">
      <c r="D11" s="8" t="n"/>
      <c r="E11" s="8" t="n"/>
      <c r="F11" s="8" t="n"/>
      <c r="K11" s="8" t="n"/>
      <c r="L11" s="8" t="n"/>
      <c r="M11" s="8" t="n"/>
      <c r="N11" s="8" t="n"/>
      <c r="O11" s="8" t="n"/>
      <c r="T11" s="8" t="n"/>
      <c r="U11" s="8" t="n"/>
      <c r="W11" s="8" t="n"/>
    </row>
    <row r="12">
      <c r="D12" s="8" t="n"/>
      <c r="E12" s="8" t="n"/>
      <c r="F12" s="8" t="n"/>
      <c r="K12" s="8" t="n"/>
      <c r="L12" s="8" t="n"/>
      <c r="M12" s="8" t="n"/>
      <c r="N12" s="8" t="n"/>
      <c r="O12" s="8" t="n"/>
      <c r="T12" s="8" t="n"/>
      <c r="U12" s="8" t="n"/>
      <c r="W12" s="8" t="n"/>
    </row>
    <row r="13">
      <c r="D13" s="8" t="n"/>
      <c r="E13" s="8" t="n"/>
      <c r="F13" s="8" t="n"/>
      <c r="K13" s="8" t="n"/>
      <c r="L13" s="8" t="n"/>
      <c r="M13" s="8" t="n"/>
      <c r="N13" s="8" t="n"/>
      <c r="O13" s="8" t="n"/>
      <c r="T13" s="8" t="n"/>
      <c r="U13" s="8" t="n"/>
      <c r="W13" s="8" t="n"/>
    </row>
    <row r="14">
      <c r="D14" s="8" t="n"/>
      <c r="E14" s="8" t="n"/>
      <c r="F14" s="8" t="n"/>
      <c r="K14" s="8" t="n"/>
      <c r="L14" s="8" t="n"/>
      <c r="M14" s="8" t="n"/>
      <c r="N14" s="8" t="n"/>
      <c r="O14" s="8" t="n"/>
      <c r="T14" s="8" t="n"/>
      <c r="U14" s="8" t="n"/>
      <c r="W14" s="8" t="n"/>
    </row>
  </sheetData>
  <mergeCells count="5">
    <mergeCell ref="A4:H4"/>
    <mergeCell ref="A2:E2"/>
    <mergeCell ref="A1:O1"/>
    <mergeCell ref="R4:W4"/>
    <mergeCell ref="I4:Q4"/>
  </mergeCells>
  <conditionalFormatting sqref="A7:H88">
    <cfRule type="expression" priority="55" dxfId="1">
      <formula>IF($J7="제외", TRUE, FALSE)</formula>
    </cfRule>
    <cfRule type="expression" priority="56" dxfId="4">
      <formula>IF(OR($J7="부분수용", $J7="불가"), TRUE, FALSE)</formula>
    </cfRule>
  </conditionalFormatting>
  <conditionalFormatting sqref="F6:Q6 S7:S88 U6:W88">
    <cfRule type="expression" priority="37" dxfId="1">
      <formula>IF($S6="제외", TRUE, FALSE)</formula>
    </cfRule>
    <cfRule type="expression" priority="38" dxfId="4">
      <formula>IF(OR($S6="부분수용", $S6="불가"), TRUE, FALSE)</formula>
    </cfRule>
  </conditionalFormatting>
  <conditionalFormatting sqref="T7:T88">
    <cfRule type="expression" priority="35" dxfId="1">
      <formula>IF($S7="제외", TRUE, FALSE)</formula>
    </cfRule>
    <cfRule type="expression" priority="36" dxfId="4">
      <formula>IF(OR($S7="부분수용", $S7="불가"), TRUE, FALSE)</formula>
    </cfRule>
  </conditionalFormatting>
  <conditionalFormatting sqref="I7:I88">
    <cfRule type="expression" priority="33" dxfId="1">
      <formula>IF(#REF!="제외", TRUE, FALSE)</formula>
    </cfRule>
    <cfRule type="expression" priority="34" dxfId="4">
      <formula>IF(OR(#REF!="부분수용", #REF!="불가"), TRUE, FALSE)</formula>
    </cfRule>
  </conditionalFormatting>
  <conditionalFormatting sqref="O7:O88 Q7:Q88">
    <cfRule type="expression" priority="31" dxfId="1">
      <formula>IF(#REF!="제외", TRUE, FALSE)</formula>
    </cfRule>
    <cfRule type="expression" priority="32" dxfId="4">
      <formula>IF(OR(#REF!="부분수용", #REF!="불가"), TRUE, FALSE)</formula>
    </cfRule>
  </conditionalFormatting>
  <conditionalFormatting sqref="K7:K88 M7:N88">
    <cfRule type="expression" priority="29" dxfId="1">
      <formula>IF(#REF!="제외", TRUE, FALSE)</formula>
    </cfRule>
    <cfRule type="expression" priority="30" dxfId="4">
      <formula>IF(OR(#REF!="부분수용", #REF!="불가"), TRUE, FALSE)</formula>
    </cfRule>
  </conditionalFormatting>
  <conditionalFormatting sqref="J7:J88">
    <cfRule type="expression" priority="25" dxfId="1">
      <formula>IF(#REF!="제외", TRUE, FALSE)</formula>
    </cfRule>
    <cfRule type="expression" priority="26" dxfId="4">
      <formula>IF(OR(#REF!="부분수용", #REF!="불가"), TRUE, FALSE)</formula>
    </cfRule>
  </conditionalFormatting>
  <conditionalFormatting sqref="L7:L88">
    <cfRule type="expression" priority="21" dxfId="1">
      <formula>IF(#REF!="제외", TRUE, FALSE)</formula>
    </cfRule>
    <cfRule type="expression" priority="22" dxfId="4">
      <formula>IF(OR(#REF!="부분수용", #REF!="불가"), TRUE, FALSE)</formula>
    </cfRule>
  </conditionalFormatting>
  <conditionalFormatting sqref="P7:P88">
    <cfRule type="expression" priority="19" dxfId="1">
      <formula>IF(#REF!="제외", TRUE, FALSE)</formula>
    </cfRule>
    <cfRule type="expression" priority="20" dxfId="4">
      <formula>IF(OR(#REF!="부분수용", #REF!="불가"), TRUE, FALSE)</formula>
    </cfRule>
  </conditionalFormatting>
  <conditionalFormatting sqref="R7:R88">
    <cfRule type="expression" priority="15" dxfId="1">
      <formula>IF($J7="제외", TRUE, FALSE)</formula>
    </cfRule>
    <cfRule type="expression" priority="16" dxfId="4">
      <formula>IF(OR($J7="부분수용", $J7="불가"), TRUE, FALSE)</formula>
    </cfRule>
  </conditionalFormatting>
  <conditionalFormatting sqref="A6:E6">
    <cfRule type="expression" priority="3" dxfId="1">
      <formula>IF($J6="제외", TRUE, FALSE)</formula>
    </cfRule>
    <cfRule type="expression" priority="4" dxfId="0">
      <formula>IF(OR($J6="부분수용", $J6="불가"), TRUE, FALSE)</formula>
    </cfRule>
  </conditionalFormatting>
  <conditionalFormatting sqref="R6:T6">
    <cfRule type="expression" priority="1" dxfId="1">
      <formula>IF($J6="제외", TRUE, FALSE)</formula>
    </cfRule>
    <cfRule type="expression" priority="2" dxfId="0">
      <formula>IF(OR($J6="부분수용", $J6="불가"), TRUE, FALSE)</formula>
    </cfRule>
  </conditionalFormatting>
  <dataValidations count="4">
    <dataValidation sqref="R6" showDropDown="0" showInputMessage="1" showErrorMessage="1" allowBlank="1" type="list">
      <formula1>"기능,비기능(품질),인터페이스,기술인프라,기타"</formula1>
    </dataValidation>
    <dataValidation sqref="S6" showDropDown="0" showInputMessage="1" showErrorMessage="1" allowBlank="1" type="list">
      <formula1>"수용,부분수용,불가,제외"</formula1>
    </dataValidation>
    <dataValidation sqref="I6" showDropDown="0" showInputMessage="1" showErrorMessage="1" allowBlank="1" type="list">
      <formula1>"추가,내용변경,삭제"</formula1>
    </dataValidation>
    <dataValidation sqref="J6" showDropDown="0" showInputMessage="1" showErrorMessage="1" allowBlank="1" type="list">
      <formula1>"완료,진행중"</formula1>
    </dataValidation>
  </dataValidations>
  <pageMargins left="0.5905511811023623" right="0.5905511811023623" top="0.7874015748031497" bottom="0.5118110236220472" header="0.5118110236220472" footer="0.3149606299212598"/>
  <pageSetup orientation="landscape" paperSize="9" scale="50" fitToHeight="0"/>
  <headerFooter alignWithMargins="0">
    <oddHeader>&amp;L&amp;"바탕체,굵게"&amp;9 [PJ명] 그룹웨어 구축&amp;R&amp;"바탕체,굵게"&amp;9 PJ명_ANL03_요구사항정의 GAP분석서.xlsx</oddHeader>
    <oddFooter>&amp;L고객사명&amp;C&amp;"바탕체,보통"&amp;9 &amp;P / &amp;N&amp;R&amp;G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14"/>
  <sheetViews>
    <sheetView showGridLines="0" zoomScaleNormal="100" zoomScaleSheetLayoutView="130" workbookViewId="0">
      <pane xSplit="6" ySplit="5" topLeftCell="L6" activePane="bottomRight" state="frozen"/>
      <selection activeCell="C21" sqref="C21:D21"/>
      <selection pane="topRight" activeCell="C21" sqref="C21:D21"/>
      <selection pane="bottomLeft" activeCell="C21" sqref="C21:D21"/>
      <selection pane="bottomRight" activeCell="F13" sqref="F13"/>
    </sheetView>
  </sheetViews>
  <sheetFormatPr baseColWidth="8" defaultColWidth="8.9140625" defaultRowHeight="16"/>
  <cols>
    <col width="3.4140625" customWidth="1" style="9" min="1" max="1"/>
    <col width="11.6640625" bestFit="1" customWidth="1" style="9" min="2" max="2"/>
    <col width="10.58203125" bestFit="1" customWidth="1" style="9" min="3" max="3"/>
    <col width="12.83203125" customWidth="1" style="7" min="4" max="4"/>
    <col width="20.83203125" customWidth="1" style="7" min="5" max="5"/>
    <col width="28.83203125" customWidth="1" style="7" min="6" max="6"/>
    <col width="28.83203125" customWidth="1" style="8" min="7" max="8"/>
    <col width="6.4140625" customWidth="1" style="9" min="9" max="9"/>
    <col width="8" customWidth="1" style="9" min="10" max="10"/>
    <col width="10.08203125" customWidth="1" style="7" min="11" max="12"/>
    <col width="6.4140625" customWidth="1" style="7" min="13" max="13"/>
    <col width="11.6640625" customWidth="1" style="7" min="14" max="14"/>
    <col width="29.9140625" customWidth="1" style="7" min="15" max="15"/>
    <col width="6.4140625" customWidth="1" style="9" min="16" max="17"/>
    <col width="4.25" customWidth="1" style="9" min="18" max="18"/>
    <col width="4.4140625" bestFit="1" customWidth="1" style="9" min="19" max="19"/>
    <col width="10.6640625" customWidth="1" style="7" min="20" max="21"/>
    <col width="9.6640625" bestFit="1" customWidth="1" style="9" min="22" max="22"/>
    <col width="12" customWidth="1" style="7" min="23" max="23"/>
    <col width="8.9140625" customWidth="1" style="5" min="24" max="16384"/>
  </cols>
  <sheetData>
    <row r="1" ht="10" customHeight="1">
      <c r="A1" s="111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</row>
    <row r="2" ht="24" customFormat="1" customHeight="1" s="6" thickBot="1">
      <c r="A2" s="112">
        <f>"▣ " &amp; RIGHT(CELL("filename",A1),LEN(CELL("filename",A1))-FIND("]",CELL("filename",A1))) &amp; " 요구사항정의서"</f>
        <v/>
      </c>
      <c r="B2" s="144" t="n"/>
      <c r="C2" s="144" t="n"/>
      <c r="D2" s="144" t="n"/>
      <c r="E2" s="144" t="n"/>
      <c r="F2" s="17" t="n"/>
      <c r="G2" s="18" t="n"/>
      <c r="H2" s="26" t="n"/>
      <c r="I2" s="19" t="n"/>
      <c r="J2" s="19" t="n"/>
      <c r="K2" s="20" t="n"/>
      <c r="L2" s="20" t="n"/>
      <c r="M2" s="20" t="n"/>
      <c r="N2" s="20" t="n"/>
      <c r="O2" s="21" t="n"/>
      <c r="P2" s="22" t="n"/>
      <c r="Q2" s="22" t="n"/>
      <c r="R2" s="19" t="n"/>
      <c r="S2" s="19" t="n"/>
      <c r="T2" s="20" t="inlineStr">
        <is>
          <t>▣ 작성자:</t>
        </is>
      </c>
      <c r="U2" s="21" t="inlineStr">
        <is>
          <t>강민석</t>
        </is>
      </c>
      <c r="V2" s="22" t="inlineStr">
        <is>
          <t>▣ 작성일:</t>
        </is>
      </c>
      <c r="W2" s="23" t="n">
        <v>46127</v>
      </c>
    </row>
    <row r="3" ht="3" customFormat="1" customHeight="1" s="6">
      <c r="A3" s="10" t="n"/>
      <c r="B3" s="10" t="n"/>
      <c r="C3" s="10" t="n"/>
      <c r="D3" s="10" t="n"/>
      <c r="E3" s="10" t="n"/>
      <c r="F3" s="11" t="n"/>
      <c r="G3" s="12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</row>
    <row r="4" ht="17.5" customFormat="1" customHeight="1" s="6">
      <c r="A4" s="113" t="inlineStr">
        <is>
          <t>요구사항 정의</t>
        </is>
      </c>
      <c r="B4" s="145" t="n"/>
      <c r="C4" s="145" t="n"/>
      <c r="D4" s="145" t="n"/>
      <c r="E4" s="145" t="n"/>
      <c r="F4" s="145" t="n"/>
      <c r="G4" s="145" t="n"/>
      <c r="H4" s="146" t="n"/>
      <c r="I4" s="147" t="inlineStr">
        <is>
          <t>변경 내역</t>
        </is>
      </c>
      <c r="J4" s="128" t="n"/>
      <c r="K4" s="128" t="n"/>
      <c r="L4" s="128" t="n"/>
      <c r="M4" s="128" t="n"/>
      <c r="N4" s="128" t="n"/>
      <c r="O4" s="128" t="n"/>
      <c r="P4" s="128" t="n"/>
      <c r="Q4" s="126" t="n"/>
      <c r="R4" s="147" t="inlineStr">
        <is>
          <t>기타</t>
        </is>
      </c>
      <c r="S4" s="128" t="n"/>
      <c r="T4" s="128" t="n"/>
      <c r="U4" s="128" t="n"/>
      <c r="V4" s="128" t="n"/>
      <c r="W4" s="126" t="n"/>
    </row>
    <row r="5" ht="44" customFormat="1" customHeight="1" s="6" thickBot="1">
      <c r="A5" s="14" t="inlineStr">
        <is>
          <t>NO</t>
        </is>
      </c>
      <c r="B5" s="25" t="inlineStr">
        <is>
          <t>서브시스템</t>
        </is>
      </c>
      <c r="C5" s="15" t="inlineStr">
        <is>
          <t>요구사항 ID</t>
        </is>
      </c>
      <c r="D5" s="25" t="inlineStr">
        <is>
          <t>요구사항 구분</t>
        </is>
      </c>
      <c r="E5" s="25" t="inlineStr">
        <is>
          <t>요구사항</t>
        </is>
      </c>
      <c r="F5" s="25" t="inlineStr">
        <is>
          <t>요구사항 상세 설명</t>
        </is>
      </c>
      <c r="G5" s="25" t="inlineStr">
        <is>
          <t>매핑/GAP분석</t>
        </is>
      </c>
      <c r="H5" s="25" t="inlineStr">
        <is>
          <t>GAP대응방안</t>
        </is>
      </c>
      <c r="I5" s="25" t="inlineStr">
        <is>
          <t>변경
구분</t>
        </is>
      </c>
      <c r="J5" s="25" t="inlineStr">
        <is>
          <t>변경
완료 여부</t>
        </is>
      </c>
      <c r="K5" s="25" t="inlineStr">
        <is>
          <t>변경
시작일</t>
        </is>
      </c>
      <c r="L5" s="25" t="inlineStr">
        <is>
          <t>변경
완료일</t>
        </is>
      </c>
      <c r="M5" s="25" t="inlineStr">
        <is>
          <t>변경
요청자</t>
        </is>
      </c>
      <c r="N5" s="25" t="inlineStr">
        <is>
          <t>현재 적용된 
변경 버전</t>
        </is>
      </c>
      <c r="O5" s="25" t="inlineStr">
        <is>
          <t>변경 상세 내용
(변경일자 (변경 버전), 변경 상세 내용)</t>
        </is>
      </c>
      <c r="P5" s="25" t="inlineStr">
        <is>
          <t>변경
출처</t>
        </is>
      </c>
      <c r="Q5" s="25" t="inlineStr">
        <is>
          <t>변경
승인근거</t>
        </is>
      </c>
      <c r="R5" s="25" t="inlineStr">
        <is>
          <t>기능분류</t>
        </is>
      </c>
      <c r="S5" s="25" t="inlineStr">
        <is>
          <t>수용 
여부</t>
        </is>
      </c>
      <c r="T5" s="25" t="inlineStr">
        <is>
          <t>요구사항출처</t>
        </is>
      </c>
      <c r="U5" s="25" t="inlineStr">
        <is>
          <t>요구추적 출처</t>
        </is>
      </c>
      <c r="V5" s="25" t="inlineStr">
        <is>
          <t>관련부서</t>
        </is>
      </c>
      <c r="W5" s="16" t="inlineStr">
        <is>
          <t>비고</t>
        </is>
      </c>
    </row>
    <row r="6" ht="43.5" customHeight="1">
      <c r="A6" s="64">
        <f>ROW($A6)-5</f>
        <v/>
      </c>
      <c r="B6" s="43" t="inlineStr">
        <is>
          <t>Outlook Add-in</t>
        </is>
      </c>
      <c r="C6" s="65" t="inlineStr">
        <is>
          <t>REQ-ODD-001</t>
        </is>
      </c>
      <c r="D6" s="66" t="inlineStr">
        <is>
          <t>Add-in</t>
        </is>
      </c>
      <c r="E6" s="67" t="inlineStr">
        <is>
          <t>Outlook Add-in 구성</t>
        </is>
      </c>
      <c r="F6" s="67" t="inlineStr">
        <is>
          <t>대용량, 조직도 포함</t>
        </is>
      </c>
      <c r="G6" s="53" t="n"/>
      <c r="H6" s="53" t="n"/>
      <c r="I6" s="43" t="n"/>
      <c r="J6" s="43" t="n"/>
      <c r="K6" s="43" t="n"/>
      <c r="L6" s="43" t="n"/>
      <c r="M6" s="43" t="n"/>
      <c r="N6" s="43" t="n"/>
      <c r="O6" s="53" t="n"/>
      <c r="P6" s="43" t="n"/>
      <c r="Q6" s="43" t="n"/>
      <c r="R6" s="43" t="inlineStr">
        <is>
          <t>기능</t>
        </is>
      </c>
      <c r="S6" s="43" t="inlineStr">
        <is>
          <t>수용</t>
        </is>
      </c>
      <c r="T6" s="43" t="inlineStr">
        <is>
          <t>영업인수인계자료, 260311인터뷰</t>
        </is>
      </c>
      <c r="U6" s="53" t="n"/>
      <c r="V6" s="53" t="n"/>
      <c r="W6" s="53" t="n"/>
    </row>
    <row r="7">
      <c r="D7" s="8" t="n"/>
      <c r="E7" s="8" t="n"/>
      <c r="F7" s="8" t="n"/>
      <c r="K7" s="8" t="n"/>
      <c r="L7" s="8" t="n"/>
      <c r="M7" s="8" t="n"/>
      <c r="N7" s="8" t="n"/>
      <c r="O7" s="8" t="n"/>
      <c r="T7" s="8" t="n"/>
      <c r="U7" s="8" t="n"/>
      <c r="W7" s="8" t="n"/>
    </row>
    <row r="8">
      <c r="D8" s="8" t="n"/>
      <c r="E8" s="8" t="n"/>
      <c r="F8" s="8" t="n"/>
      <c r="K8" s="8" t="n"/>
      <c r="L8" s="8" t="n"/>
      <c r="M8" s="8" t="n"/>
      <c r="N8" s="8" t="n"/>
      <c r="O8" s="8" t="n"/>
      <c r="T8" s="8" t="n"/>
      <c r="U8" s="8" t="n"/>
      <c r="W8" s="8" t="n"/>
    </row>
    <row r="9">
      <c r="D9" s="8" t="n"/>
      <c r="E9" s="8" t="n"/>
      <c r="F9" s="8" t="n"/>
      <c r="K9" s="8" t="n"/>
      <c r="L9" s="8" t="n"/>
      <c r="M9" s="8" t="n"/>
      <c r="N9" s="8" t="n"/>
      <c r="O9" s="8" t="n"/>
      <c r="T9" s="8" t="n"/>
      <c r="U9" s="8" t="n"/>
      <c r="W9" s="8" t="n"/>
    </row>
    <row r="10">
      <c r="D10" s="8" t="n"/>
      <c r="E10" s="8" t="n"/>
      <c r="F10" s="8" t="n"/>
      <c r="K10" s="8" t="n"/>
      <c r="L10" s="8" t="n"/>
      <c r="M10" s="8" t="n"/>
      <c r="N10" s="8" t="n"/>
      <c r="O10" s="8" t="n"/>
      <c r="T10" s="8" t="n"/>
      <c r="U10" s="8" t="n"/>
      <c r="W10" s="8" t="n"/>
    </row>
    <row r="11">
      <c r="D11" s="8" t="n"/>
      <c r="E11" s="8" t="n"/>
      <c r="F11" s="8" t="n"/>
      <c r="K11" s="8" t="n"/>
      <c r="L11" s="8" t="n"/>
      <c r="M11" s="8" t="n"/>
      <c r="N11" s="8" t="n"/>
      <c r="O11" s="8" t="n"/>
      <c r="T11" s="8" t="n"/>
      <c r="U11" s="8" t="n"/>
      <c r="W11" s="8" t="n"/>
    </row>
    <row r="12">
      <c r="D12" s="8" t="n"/>
      <c r="E12" s="8" t="n"/>
      <c r="F12" s="8" t="n"/>
      <c r="K12" s="8" t="n"/>
      <c r="L12" s="8" t="n"/>
      <c r="M12" s="8" t="n"/>
      <c r="N12" s="8" t="n"/>
      <c r="O12" s="8" t="n"/>
      <c r="T12" s="8" t="n"/>
      <c r="U12" s="8" t="n"/>
      <c r="W12" s="8" t="n"/>
    </row>
    <row r="13">
      <c r="D13" s="8" t="n"/>
      <c r="E13" s="8" t="n"/>
      <c r="F13" s="8" t="n"/>
      <c r="K13" s="8" t="n"/>
      <c r="L13" s="8" t="n"/>
      <c r="M13" s="8" t="n"/>
      <c r="N13" s="8" t="n"/>
      <c r="O13" s="8" t="n"/>
      <c r="T13" s="8" t="n"/>
      <c r="U13" s="8" t="n"/>
      <c r="W13" s="8" t="n"/>
    </row>
    <row r="14">
      <c r="D14" s="8" t="n"/>
      <c r="E14" s="8" t="n"/>
      <c r="F14" s="8" t="n"/>
      <c r="K14" s="8" t="n"/>
      <c r="L14" s="8" t="n"/>
      <c r="M14" s="8" t="n"/>
      <c r="N14" s="8" t="n"/>
      <c r="O14" s="8" t="n"/>
      <c r="T14" s="8" t="n"/>
      <c r="U14" s="8" t="n"/>
      <c r="W14" s="8" t="n"/>
    </row>
  </sheetData>
  <mergeCells count="5">
    <mergeCell ref="A4:H4"/>
    <mergeCell ref="A2:E2"/>
    <mergeCell ref="R4:W4"/>
    <mergeCell ref="I4:Q4"/>
    <mergeCell ref="A1:N1"/>
  </mergeCells>
  <conditionalFormatting sqref="A7:H88">
    <cfRule type="expression" priority="99" dxfId="1">
      <formula>IF($J7="제외", TRUE, FALSE)</formula>
    </cfRule>
    <cfRule type="expression" priority="100" dxfId="4">
      <formula>IF(OR($J7="부분수용", $J7="불가"), TRUE, FALSE)</formula>
    </cfRule>
  </conditionalFormatting>
  <conditionalFormatting sqref="S7:S88 U6:W88">
    <cfRule type="expression" priority="43" dxfId="1">
      <formula>IF($S6="제외", TRUE, FALSE)</formula>
    </cfRule>
    <cfRule type="expression" priority="44" dxfId="4">
      <formula>IF(OR($S6="부분수용", $S6="불가"), TRUE, FALSE)</formula>
    </cfRule>
  </conditionalFormatting>
  <conditionalFormatting sqref="T7:T88">
    <cfRule type="expression" priority="41" dxfId="1">
      <formula>IF($S7="제외", TRUE, FALSE)</formula>
    </cfRule>
    <cfRule type="expression" priority="42" dxfId="4">
      <formula>IF(OR($S7="부분수용", $S7="불가"), TRUE, FALSE)</formula>
    </cfRule>
  </conditionalFormatting>
  <conditionalFormatting sqref="I7:I88">
    <cfRule type="expression" priority="39" dxfId="1">
      <formula>IF(#REF!="제외", TRUE, FALSE)</formula>
    </cfRule>
    <cfRule type="expression" priority="40" dxfId="4">
      <formula>IF(OR(#REF!="부분수용", #REF!="불가"), TRUE, FALSE)</formula>
    </cfRule>
  </conditionalFormatting>
  <conditionalFormatting sqref="O7:O88 Q7:Q88">
    <cfRule type="expression" priority="37" dxfId="1">
      <formula>IF(#REF!="제외", TRUE, FALSE)</formula>
    </cfRule>
    <cfRule type="expression" priority="38" dxfId="4">
      <formula>IF(OR(#REF!="부분수용", #REF!="불가"), TRUE, FALSE)</formula>
    </cfRule>
  </conditionalFormatting>
  <conditionalFormatting sqref="K7:K88 M7:N88">
    <cfRule type="expression" priority="35" dxfId="1">
      <formula>IF(#REF!="제외", TRUE, FALSE)</formula>
    </cfRule>
    <cfRule type="expression" priority="36" dxfId="4">
      <formula>IF(OR(#REF!="부분수용", #REF!="불가"), TRUE, FALSE)</formula>
    </cfRule>
  </conditionalFormatting>
  <conditionalFormatting sqref="L7:L88">
    <cfRule type="expression" priority="27" dxfId="1">
      <formula>IF(#REF!="제외", TRUE, FALSE)</formula>
    </cfRule>
    <cfRule type="expression" priority="28" dxfId="4">
      <formula>IF(OR(#REF!="부분수용", #REF!="불가"), TRUE, FALSE)</formula>
    </cfRule>
  </conditionalFormatting>
  <conditionalFormatting sqref="J7:J88">
    <cfRule type="expression" priority="31" dxfId="1">
      <formula>IF(#REF!="제외", TRUE, FALSE)</formula>
    </cfRule>
    <cfRule type="expression" priority="32" dxfId="4">
      <formula>IF(OR(#REF!="부분수용", #REF!="불가"), TRUE, FALSE)</formula>
    </cfRule>
  </conditionalFormatting>
  <conditionalFormatting sqref="P7:P88">
    <cfRule type="expression" priority="25" dxfId="1">
      <formula>IF(#REF!="제외", TRUE, FALSE)</formula>
    </cfRule>
    <cfRule type="expression" priority="26" dxfId="4">
      <formula>IF(OR(#REF!="부분수용", #REF!="불가"), TRUE, FALSE)</formula>
    </cfRule>
  </conditionalFormatting>
  <conditionalFormatting sqref="R7:R88">
    <cfRule type="expression" priority="21" dxfId="1">
      <formula>IF($J7="제외", TRUE, FALSE)</formula>
    </cfRule>
    <cfRule type="expression" priority="22" dxfId="4">
      <formula>IF(OR($J7="부분수용", $J7="불가"), TRUE, FALSE)</formula>
    </cfRule>
  </conditionalFormatting>
  <conditionalFormatting sqref="G6:Q6">
    <cfRule type="expression" priority="5" dxfId="1">
      <formula>IF($S6="제외", TRUE, FALSE)</formula>
    </cfRule>
    <cfRule type="expression" priority="6" dxfId="4">
      <formula>IF(OR($S6="부분수용", $S6="불가"), TRUE, FALSE)</formula>
    </cfRule>
  </conditionalFormatting>
  <conditionalFormatting sqref="A6:F6">
    <cfRule type="expression" priority="3" dxfId="1">
      <formula>IF($J6="제외", TRUE, FALSE)</formula>
    </cfRule>
    <cfRule type="expression" priority="4" dxfId="0">
      <formula>IF(OR($J6="부분수용", $J6="불가"), TRUE, FALSE)</formula>
    </cfRule>
  </conditionalFormatting>
  <conditionalFormatting sqref="R6:T6">
    <cfRule type="expression" priority="1" dxfId="1">
      <formula>IF($J6="제외", TRUE, FALSE)</formula>
    </cfRule>
    <cfRule type="expression" priority="2" dxfId="0">
      <formula>IF(OR($J6="부분수용", $J6="불가"), TRUE, FALSE)</formula>
    </cfRule>
  </conditionalFormatting>
  <dataValidations count="4">
    <dataValidation sqref="R6" showDropDown="0" showInputMessage="1" showErrorMessage="1" allowBlank="1" type="list">
      <formula1>"기능,비기능(품질),인터페이스,기술인프라,기타"</formula1>
    </dataValidation>
    <dataValidation sqref="S6" showDropDown="0" showInputMessage="1" showErrorMessage="1" allowBlank="1" type="list">
      <formula1>"수용,부분수용,불가,제외"</formula1>
    </dataValidation>
    <dataValidation sqref="I6" showDropDown="0" showInputMessage="1" showErrorMessage="1" allowBlank="1" type="list">
      <formula1>"추가,내용변경,삭제"</formula1>
    </dataValidation>
    <dataValidation sqref="J6" showDropDown="0" showInputMessage="1" showErrorMessage="1" allowBlank="1" type="list">
      <formula1>"완료,진행중"</formula1>
    </dataValidation>
  </dataValidations>
  <pageMargins left="0.5905511811023623" right="0.5905511811023623" top="0.7874015748031497" bottom="0.5118110236220472" header="0.5118110236220472" footer="0.3149606299212598"/>
  <pageSetup orientation="landscape" paperSize="9" scale="50" fitToHeight="0"/>
  <headerFooter alignWithMargins="0">
    <oddHeader>&amp;L&amp;"바탕체,굵게"&amp;9 [PJ명] 그룹웨어 구축&amp;R&amp;"바탕체,굵게"&amp;9 PJ명_ANL03_요구사항정의 GAP분석서.xlsx</oddHeader>
    <oddFooter>&amp;L고객사명&amp;C&amp;"바탕체,보통"&amp;9 &amp;P / &amp;N&amp;R&amp;G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W16"/>
  <sheetViews>
    <sheetView showGridLines="0" zoomScale="85" zoomScaleNormal="85" zoomScaleSheetLayoutView="130" workbookViewId="0">
      <pane xSplit="6" ySplit="5" topLeftCell="J6" activePane="bottomRight" state="frozen"/>
      <selection activeCell="C21" sqref="C21:D21"/>
      <selection pane="topRight" activeCell="C21" sqref="C21:D21"/>
      <selection pane="bottomLeft" activeCell="C21" sqref="C21:D21"/>
      <selection pane="bottomRight" activeCell="F11" sqref="F11"/>
    </sheetView>
  </sheetViews>
  <sheetFormatPr baseColWidth="8" defaultColWidth="8.9140625" defaultRowHeight="16"/>
  <cols>
    <col width="3.4140625" customWidth="1" style="9" min="1" max="1"/>
    <col width="9.5" customWidth="1" style="9" min="2" max="2"/>
    <col width="15.33203125" customWidth="1" style="9" min="3" max="3"/>
    <col width="12.83203125" customWidth="1" style="7" min="4" max="4"/>
    <col width="20.83203125" customWidth="1" style="7" min="5" max="5"/>
    <col width="28.83203125" customWidth="1" style="7" min="6" max="6"/>
    <col width="28.83203125" customWidth="1" style="8" min="7" max="8"/>
    <col width="6.4140625" customWidth="1" style="9" min="9" max="9"/>
    <col width="8.4140625" customWidth="1" style="9" min="10" max="10"/>
    <col width="10.08203125" customWidth="1" style="7" min="11" max="12"/>
    <col width="6.4140625" customWidth="1" style="7" min="13" max="13"/>
    <col width="9.6640625" customWidth="1" style="7" min="14" max="14"/>
    <col width="29.9140625" customWidth="1" style="7" min="15" max="15"/>
    <col width="6.4140625" customWidth="1" style="9" min="16" max="17"/>
    <col width="4.58203125" customWidth="1" style="9" min="18" max="18"/>
    <col width="4.4140625" bestFit="1" customWidth="1" style="9" min="19" max="19"/>
    <col width="10.6640625" customWidth="1" style="7" min="20" max="21"/>
    <col width="9.6640625" bestFit="1" customWidth="1" style="9" min="22" max="22"/>
    <col width="12" customWidth="1" style="7" min="23" max="23"/>
    <col width="8.9140625" customWidth="1" style="5" min="24" max="16384"/>
  </cols>
  <sheetData>
    <row r="1" ht="10" customHeight="1">
      <c r="A1" s="111" t="n"/>
      <c r="P1" s="5" t="n"/>
      <c r="Q1" s="5" t="n"/>
      <c r="R1" s="5" t="n"/>
      <c r="S1" s="5" t="n"/>
      <c r="T1" s="5" t="n"/>
      <c r="U1" s="5" t="n"/>
      <c r="V1" s="5" t="n"/>
      <c r="W1" s="5" t="n"/>
    </row>
    <row r="2" ht="24" customFormat="1" customHeight="1" s="6" thickBot="1">
      <c r="A2" s="112">
        <f>"▣ " &amp; RIGHT(CELL("filename",A1),LEN(CELL("filename",A1))-FIND("]",CELL("filename",A1))) &amp; " 요구사항정의서"</f>
        <v/>
      </c>
      <c r="B2" s="144" t="n"/>
      <c r="C2" s="144" t="n"/>
      <c r="D2" s="144" t="n"/>
      <c r="E2" s="144" t="n"/>
      <c r="F2" s="17" t="n"/>
      <c r="G2" s="18" t="n"/>
      <c r="H2" s="26" t="n"/>
      <c r="I2" s="19" t="n"/>
      <c r="J2" s="19" t="n"/>
      <c r="K2" s="20" t="n"/>
      <c r="L2" s="20" t="n"/>
      <c r="M2" s="20" t="n"/>
      <c r="N2" s="20" t="n"/>
      <c r="O2" s="21" t="n"/>
      <c r="P2" s="22" t="n"/>
      <c r="Q2" s="22" t="n"/>
      <c r="R2" s="19" t="n"/>
      <c r="S2" s="19" t="n"/>
      <c r="T2" s="20" t="inlineStr">
        <is>
          <t>▣ 작성자:</t>
        </is>
      </c>
      <c r="U2" s="21" t="inlineStr">
        <is>
          <t>강민석</t>
        </is>
      </c>
      <c r="V2" s="22" t="inlineStr">
        <is>
          <t>▣ 작성일:</t>
        </is>
      </c>
      <c r="W2" s="23" t="n">
        <v>46127</v>
      </c>
    </row>
    <row r="3" ht="3" customFormat="1" customHeight="1" s="6">
      <c r="A3" s="10" t="n"/>
      <c r="B3" s="10" t="n"/>
      <c r="C3" s="10" t="n"/>
      <c r="D3" s="10" t="n"/>
      <c r="E3" s="10" t="n"/>
      <c r="F3" s="11" t="n"/>
      <c r="G3" s="12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</row>
    <row r="4" ht="17.5" customFormat="1" customHeight="1" s="6">
      <c r="A4" s="113" t="inlineStr">
        <is>
          <t>요구사항 정의</t>
        </is>
      </c>
      <c r="B4" s="145" t="n"/>
      <c r="C4" s="145" t="n"/>
      <c r="D4" s="145" t="n"/>
      <c r="E4" s="145" t="n"/>
      <c r="F4" s="145" t="n"/>
      <c r="G4" s="145" t="n"/>
      <c r="H4" s="146" t="n"/>
      <c r="I4" s="147" t="inlineStr">
        <is>
          <t>변경 내역</t>
        </is>
      </c>
      <c r="J4" s="128" t="n"/>
      <c r="K4" s="128" t="n"/>
      <c r="L4" s="128" t="n"/>
      <c r="M4" s="128" t="n"/>
      <c r="N4" s="128" t="n"/>
      <c r="O4" s="128" t="n"/>
      <c r="P4" s="128" t="n"/>
      <c r="Q4" s="126" t="n"/>
      <c r="R4" s="147" t="inlineStr">
        <is>
          <t>기타</t>
        </is>
      </c>
      <c r="S4" s="128" t="n"/>
      <c r="T4" s="128" t="n"/>
      <c r="U4" s="128" t="n"/>
      <c r="V4" s="128" t="n"/>
      <c r="W4" s="126" t="n"/>
    </row>
    <row r="5" ht="44" customFormat="1" customHeight="1" s="6" thickBot="1">
      <c r="A5" s="14" t="inlineStr">
        <is>
          <t>NO</t>
        </is>
      </c>
      <c r="B5" s="25" t="inlineStr">
        <is>
          <t>서브시스템</t>
        </is>
      </c>
      <c r="C5" s="15" t="inlineStr">
        <is>
          <t>요구사항 ID</t>
        </is>
      </c>
      <c r="D5" s="25" t="inlineStr">
        <is>
          <t>요구사항 구분</t>
        </is>
      </c>
      <c r="E5" s="25" t="inlineStr">
        <is>
          <t>요구사항</t>
        </is>
      </c>
      <c r="F5" s="25" t="inlineStr">
        <is>
          <t>요구사항 상세 설명</t>
        </is>
      </c>
      <c r="G5" s="25" t="inlineStr">
        <is>
          <t>매핑/GAP분석</t>
        </is>
      </c>
      <c r="H5" s="25" t="inlineStr">
        <is>
          <t>GAP대응방안</t>
        </is>
      </c>
      <c r="I5" s="25" t="inlineStr">
        <is>
          <t>변경
구분</t>
        </is>
      </c>
      <c r="J5" s="25" t="inlineStr">
        <is>
          <t>변경
완료 여부</t>
        </is>
      </c>
      <c r="K5" s="25" t="inlineStr">
        <is>
          <t>변경
시작일</t>
        </is>
      </c>
      <c r="L5" s="25" t="inlineStr">
        <is>
          <t>변경
완료일</t>
        </is>
      </c>
      <c r="M5" s="25" t="inlineStr">
        <is>
          <t>변경
요청자</t>
        </is>
      </c>
      <c r="N5" s="25" t="inlineStr">
        <is>
          <t>현재 적용된 
변경 버전</t>
        </is>
      </c>
      <c r="O5" s="25" t="inlineStr">
        <is>
          <t>변경 상세 내용
(변경일자 (변경 버전), 변경 상세 내용)</t>
        </is>
      </c>
      <c r="P5" s="25" t="inlineStr">
        <is>
          <t>변경
출처</t>
        </is>
      </c>
      <c r="Q5" s="25" t="inlineStr">
        <is>
          <t>변경
승인근거</t>
        </is>
      </c>
      <c r="R5" s="25" t="inlineStr">
        <is>
          <t>기능분류</t>
        </is>
      </c>
      <c r="S5" s="25" t="inlineStr">
        <is>
          <t>수용 
여부</t>
        </is>
      </c>
      <c r="T5" s="25" t="inlineStr">
        <is>
          <t>요구사항출처</t>
        </is>
      </c>
      <c r="U5" s="25" t="inlineStr">
        <is>
          <t>요구추적 출처</t>
        </is>
      </c>
      <c r="V5" s="25" t="inlineStr">
        <is>
          <t>관련부서</t>
        </is>
      </c>
      <c r="W5" s="16" t="inlineStr">
        <is>
          <t>비고</t>
        </is>
      </c>
    </row>
    <row r="6" ht="43.5" customHeight="1">
      <c r="A6" s="64">
        <f>ROW($A6)-5</f>
        <v/>
      </c>
      <c r="B6" s="43" t="inlineStr">
        <is>
          <t>조직도</t>
        </is>
      </c>
      <c r="C6" s="65" t="inlineStr">
        <is>
          <t>REQ-ORG-001</t>
        </is>
      </c>
      <c r="D6" s="66" t="inlineStr">
        <is>
          <t>인사연동</t>
        </is>
      </c>
      <c r="E6" s="67" t="inlineStr">
        <is>
          <t>V1: 수동 , V2: 영림원 연계</t>
        </is>
      </c>
      <c r="F6" s="56" t="inlineStr">
        <is>
          <t>영림원 ERP(MSSQL)는 view 로 제공예정
그룹웨어 조직도 연동 대상-DB, AD</t>
        </is>
      </c>
      <c r="G6" s="53" t="n"/>
      <c r="H6" s="53" t="n"/>
      <c r="I6" s="43" t="n"/>
      <c r="J6" s="43" t="n"/>
      <c r="K6" s="43" t="n"/>
      <c r="L6" s="43" t="n"/>
      <c r="M6" s="43" t="n"/>
      <c r="N6" s="43" t="n"/>
      <c r="O6" s="53" t="n"/>
      <c r="P6" s="43" t="n"/>
      <c r="Q6" s="43" t="n"/>
      <c r="R6" s="43" t="inlineStr">
        <is>
          <t>기능</t>
        </is>
      </c>
      <c r="S6" s="43" t="inlineStr">
        <is>
          <t>수용</t>
        </is>
      </c>
      <c r="T6" s="43" t="inlineStr">
        <is>
          <t>영업인수인계자료, 260312인터뷰</t>
        </is>
      </c>
      <c r="U6" s="53" t="n"/>
      <c r="V6" s="53" t="n"/>
      <c r="W6" s="53" t="n"/>
    </row>
    <row r="7" ht="43.5" customHeight="1">
      <c r="A7" s="64">
        <f>ROW($A7)-5</f>
        <v/>
      </c>
      <c r="B7" s="51" t="inlineStr">
        <is>
          <t>조직도</t>
        </is>
      </c>
      <c r="C7" s="65" t="inlineStr">
        <is>
          <t>REQ-ORG-002</t>
        </is>
      </c>
      <c r="D7" s="68" t="inlineStr">
        <is>
          <t>조직도</t>
        </is>
      </c>
      <c r="E7" s="69" t="inlineStr">
        <is>
          <t>M365 동기화</t>
        </is>
      </c>
      <c r="F7" s="70" t="inlineStr">
        <is>
          <t>M365 계정 동기화 (로컬 AD와 entra ID간 싱크 구성 중)</t>
        </is>
      </c>
      <c r="G7" s="53" t="n"/>
      <c r="H7" s="53" t="n"/>
      <c r="I7" s="43" t="n"/>
      <c r="J7" s="43" t="n"/>
      <c r="K7" s="43" t="n"/>
      <c r="L7" s="43" t="n"/>
      <c r="M7" s="43" t="n"/>
      <c r="N7" s="43" t="n"/>
      <c r="O7" s="53" t="n"/>
      <c r="P7" s="43" t="n"/>
      <c r="Q7" s="43" t="n"/>
      <c r="R7" s="51" t="inlineStr">
        <is>
          <t>기능</t>
        </is>
      </c>
      <c r="S7" s="51" t="inlineStr">
        <is>
          <t>수용</t>
        </is>
      </c>
      <c r="T7" s="43" t="inlineStr">
        <is>
          <t>영업인수인계자료, 260313인터뷰</t>
        </is>
      </c>
      <c r="U7" s="53" t="n"/>
      <c r="V7" s="53" t="n"/>
      <c r="W7" s="53" t="n"/>
    </row>
    <row r="8" ht="43.5" customHeight="1">
      <c r="A8" s="64">
        <f>ROW($A8)-5</f>
        <v/>
      </c>
      <c r="B8" s="51" t="inlineStr">
        <is>
          <t>조직도</t>
        </is>
      </c>
      <c r="C8" s="65" t="inlineStr">
        <is>
          <t>REQ-ORG-003</t>
        </is>
      </c>
      <c r="D8" s="68" t="inlineStr">
        <is>
          <t>조직도</t>
        </is>
      </c>
      <c r="E8" s="69" t="inlineStr">
        <is>
          <t>계열사 다보이게</t>
        </is>
      </c>
      <c r="F8" s="70" t="inlineStr">
        <is>
          <t>V1, V2 양사 다 보이게
대상: 포탈, 전자결재, 이음톡</t>
        </is>
      </c>
      <c r="G8" s="53" t="n"/>
      <c r="H8" s="53" t="n"/>
      <c r="I8" s="43" t="n"/>
      <c r="J8" s="43" t="n"/>
      <c r="K8" s="43" t="n"/>
      <c r="L8" s="43" t="n"/>
      <c r="M8" s="43" t="n"/>
      <c r="N8" s="43" t="n"/>
      <c r="O8" s="53" t="n"/>
      <c r="P8" s="43" t="n"/>
      <c r="Q8" s="43" t="n"/>
      <c r="R8" s="51" t="inlineStr">
        <is>
          <t>기능</t>
        </is>
      </c>
      <c r="S8" s="51" t="inlineStr">
        <is>
          <t>수용</t>
        </is>
      </c>
      <c r="T8" s="43" t="inlineStr">
        <is>
          <t>영업인수인계자료, 260313인터뷰</t>
        </is>
      </c>
      <c r="U8" s="53" t="n"/>
      <c r="V8" s="53" t="n"/>
      <c r="W8" s="53" t="n"/>
    </row>
    <row r="9">
      <c r="D9" s="8" t="n"/>
      <c r="E9" s="8" t="n"/>
      <c r="F9" s="8" t="n"/>
      <c r="K9" s="8" t="n"/>
      <c r="L9" s="8" t="n"/>
      <c r="M9" s="8" t="n"/>
      <c r="N9" s="8" t="n"/>
      <c r="O9" s="8" t="n"/>
      <c r="T9" s="8" t="n"/>
      <c r="U9" s="8" t="n"/>
      <c r="W9" s="8" t="n"/>
    </row>
    <row r="10">
      <c r="D10" s="8" t="n"/>
      <c r="E10" s="8" t="n"/>
      <c r="F10" s="8" t="n"/>
      <c r="K10" s="8" t="n"/>
      <c r="L10" s="8" t="n"/>
      <c r="M10" s="8" t="n"/>
      <c r="N10" s="8" t="n"/>
      <c r="O10" s="8" t="n"/>
      <c r="T10" s="8" t="n"/>
      <c r="U10" s="8" t="n"/>
      <c r="W10" s="8" t="n"/>
    </row>
    <row r="11">
      <c r="D11" s="8" t="n"/>
      <c r="E11" s="8" t="n"/>
      <c r="F11" s="8" t="n"/>
      <c r="K11" s="8" t="n"/>
      <c r="L11" s="8" t="n"/>
      <c r="M11" s="8" t="n"/>
      <c r="N11" s="8" t="n"/>
      <c r="O11" s="8" t="n"/>
      <c r="T11" s="8" t="n"/>
      <c r="U11" s="8" t="n"/>
      <c r="W11" s="8" t="n"/>
    </row>
    <row r="12">
      <c r="D12" s="8" t="n"/>
      <c r="E12" s="8" t="n"/>
      <c r="F12" s="8" t="n"/>
      <c r="K12" s="8" t="n"/>
      <c r="L12" s="8" t="n"/>
      <c r="M12" s="8" t="n"/>
      <c r="N12" s="8" t="n"/>
      <c r="O12" s="8" t="n"/>
      <c r="T12" s="8" t="n"/>
      <c r="U12" s="8" t="n"/>
      <c r="W12" s="8" t="n"/>
    </row>
    <row r="13">
      <c r="D13" s="8" t="n"/>
      <c r="E13" s="8" t="n"/>
      <c r="F13" s="8" t="n"/>
      <c r="K13" s="8" t="n"/>
      <c r="L13" s="8" t="n"/>
      <c r="M13" s="8" t="n"/>
      <c r="N13" s="8" t="n"/>
      <c r="O13" s="8" t="n"/>
      <c r="T13" s="8" t="n"/>
      <c r="U13" s="8" t="n"/>
      <c r="W13" s="8" t="n"/>
    </row>
    <row r="14">
      <c r="D14" s="8" t="n"/>
      <c r="E14" s="8" t="n"/>
      <c r="F14" s="8" t="n"/>
      <c r="K14" s="8" t="n"/>
      <c r="L14" s="8" t="n"/>
      <c r="M14" s="8" t="n"/>
      <c r="N14" s="8" t="n"/>
      <c r="O14" s="8" t="n"/>
      <c r="T14" s="8" t="n"/>
      <c r="U14" s="8" t="n"/>
      <c r="W14" s="8" t="n"/>
    </row>
    <row r="15">
      <c r="D15" s="8" t="n"/>
      <c r="E15" s="8" t="n"/>
      <c r="F15" s="8" t="n"/>
      <c r="K15" s="8" t="n"/>
      <c r="L15" s="8" t="n"/>
      <c r="M15" s="8" t="n"/>
      <c r="N15" s="8" t="n"/>
      <c r="O15" s="8" t="n"/>
      <c r="T15" s="8" t="n"/>
      <c r="U15" s="8" t="n"/>
      <c r="W15" s="8" t="n"/>
    </row>
    <row r="16">
      <c r="D16" s="8" t="n"/>
      <c r="E16" s="8" t="n"/>
      <c r="F16" s="8" t="n"/>
      <c r="K16" s="8" t="n"/>
      <c r="L16" s="8" t="n"/>
      <c r="M16" s="8" t="n"/>
      <c r="N16" s="8" t="n"/>
      <c r="O16" s="8" t="n"/>
      <c r="T16" s="8" t="n"/>
      <c r="U16" s="8" t="n"/>
      <c r="W16" s="8" t="n"/>
    </row>
  </sheetData>
  <mergeCells count="5">
    <mergeCell ref="A4:H4"/>
    <mergeCell ref="A2:E2"/>
    <mergeCell ref="A1:O1"/>
    <mergeCell ref="R4:W4"/>
    <mergeCell ref="I4:Q4"/>
  </mergeCells>
  <conditionalFormatting sqref="A9:H90">
    <cfRule type="expression" priority="73" dxfId="1">
      <formula>IF($J9="제외", TRUE, FALSE)</formula>
    </cfRule>
    <cfRule type="expression" priority="74" dxfId="4">
      <formula>IF(OR($J9="부분수용", $J9="불가"), TRUE, FALSE)</formula>
    </cfRule>
  </conditionalFormatting>
  <conditionalFormatting sqref="S9:S90 U6:W90">
    <cfRule type="expression" priority="55" dxfId="1">
      <formula>IF($S6="제외", TRUE, FALSE)</formula>
    </cfRule>
    <cfRule type="expression" priority="56" dxfId="4">
      <formula>IF(OR($S6="부분수용", $S6="불가"), TRUE, FALSE)</formula>
    </cfRule>
  </conditionalFormatting>
  <conditionalFormatting sqref="T9:T90">
    <cfRule type="expression" priority="53" dxfId="1">
      <formula>IF($S9="제외", TRUE, FALSE)</formula>
    </cfRule>
    <cfRule type="expression" priority="54" dxfId="4">
      <formula>IF(OR($S9="부분수용", $S9="불가"), TRUE, FALSE)</formula>
    </cfRule>
  </conditionalFormatting>
  <conditionalFormatting sqref="I9:I90">
    <cfRule type="expression" priority="51" dxfId="1">
      <formula>IF(#REF!="제외", TRUE, FALSE)</formula>
    </cfRule>
    <cfRule type="expression" priority="52" dxfId="4">
      <formula>IF(OR(#REF!="부분수용", #REF!="불가"), TRUE, FALSE)</formula>
    </cfRule>
  </conditionalFormatting>
  <conditionalFormatting sqref="O9:O90 Q9:Q90">
    <cfRule type="expression" priority="49" dxfId="1">
      <formula>IF(#REF!="제외", TRUE, FALSE)</formula>
    </cfRule>
    <cfRule type="expression" priority="50" dxfId="4">
      <formula>IF(OR(#REF!="부분수용", #REF!="불가"), TRUE, FALSE)</formula>
    </cfRule>
  </conditionalFormatting>
  <conditionalFormatting sqref="K9:K90 M9:N90">
    <cfRule type="expression" priority="47" dxfId="1">
      <formula>IF(#REF!="제외", TRUE, FALSE)</formula>
    </cfRule>
    <cfRule type="expression" priority="48" dxfId="4">
      <formula>IF(OR(#REF!="부분수용", #REF!="불가"), TRUE, FALSE)</formula>
    </cfRule>
  </conditionalFormatting>
  <conditionalFormatting sqref="J9:J90">
    <cfRule type="expression" priority="43" dxfId="1">
      <formula>IF(#REF!="제외", TRUE, FALSE)</formula>
    </cfRule>
    <cfRule type="expression" priority="44" dxfId="4">
      <formula>IF(OR(#REF!="부분수용", #REF!="불가"), TRUE, FALSE)</formula>
    </cfRule>
  </conditionalFormatting>
  <conditionalFormatting sqref="L9:L90">
    <cfRule type="expression" priority="39" dxfId="1">
      <formula>IF(#REF!="제외", TRUE, FALSE)</formula>
    </cfRule>
    <cfRule type="expression" priority="40" dxfId="4">
      <formula>IF(OR(#REF!="부분수용", #REF!="불가"), TRUE, FALSE)</formula>
    </cfRule>
  </conditionalFormatting>
  <conditionalFormatting sqref="P9:P90">
    <cfRule type="expression" priority="37" dxfId="1">
      <formula>IF(#REF!="제외", TRUE, FALSE)</formula>
    </cfRule>
    <cfRule type="expression" priority="38" dxfId="4">
      <formula>IF(OR(#REF!="부분수용", #REF!="불가"), TRUE, FALSE)</formula>
    </cfRule>
  </conditionalFormatting>
  <conditionalFormatting sqref="R9:R90">
    <cfRule type="expression" priority="33" dxfId="1">
      <formula>IF($J9="제외", TRUE, FALSE)</formula>
    </cfRule>
    <cfRule type="expression" priority="34" dxfId="4">
      <formula>IF(OR($J9="부분수용", $J9="불가"), TRUE, FALSE)</formula>
    </cfRule>
  </conditionalFormatting>
  <conditionalFormatting sqref="G6:Q8">
    <cfRule type="expression" priority="11" dxfId="1">
      <formula>IF($S6="제외", TRUE, FALSE)</formula>
    </cfRule>
    <cfRule type="expression" priority="12" dxfId="4">
      <formula>IF(OR($S6="부분수용", $S6="불가"), TRUE, FALSE)</formula>
    </cfRule>
  </conditionalFormatting>
  <conditionalFormatting sqref="A6:F8">
    <cfRule type="expression" priority="10" dxfId="0">
      <formula>IF(OR($J6="부분수용", $J6="불가"), TRUE, FALSE)</formula>
    </cfRule>
    <cfRule type="expression" priority="9" dxfId="1">
      <formula>IF($J6="제외", TRUE, FALSE)</formula>
    </cfRule>
  </conditionalFormatting>
  <conditionalFormatting sqref="B7:B8 D7:F8">
    <cfRule type="expression" priority="7" dxfId="1">
      <formula>IF($J7="제외", TRUE, FALSE)</formula>
    </cfRule>
    <cfRule type="expression" priority="8" dxfId="0">
      <formula>IF(OR($J7="부분수용", $J7="불가"), TRUE, FALSE)</formula>
    </cfRule>
  </conditionalFormatting>
  <conditionalFormatting sqref="R6:T8">
    <cfRule type="expression" priority="6" dxfId="0">
      <formula>IF(OR($J6="부분수용", $J6="불가"), TRUE, FALSE)</formula>
    </cfRule>
    <cfRule type="expression" priority="5" dxfId="1">
      <formula>IF($J6="제외", TRUE, FALSE)</formula>
    </cfRule>
  </conditionalFormatting>
  <conditionalFormatting sqref="R6:S8">
    <cfRule type="expression" priority="3" dxfId="1">
      <formula>IF($J6="제외", TRUE, FALSE)</formula>
    </cfRule>
    <cfRule type="expression" priority="4" dxfId="0">
      <formula>IF(OR($J6="부분수용", $J6="불가"), TRUE, FALSE)</formula>
    </cfRule>
  </conditionalFormatting>
  <conditionalFormatting sqref="T8">
    <cfRule type="expression" priority="1" dxfId="1">
      <formula>IF($J8="제외", TRUE, FALSE)</formula>
    </cfRule>
    <cfRule type="expression" priority="2" dxfId="0">
      <formula>IF(OR($J8="부분수용", $J8="불가"), TRUE, FALSE)</formula>
    </cfRule>
  </conditionalFormatting>
  <dataValidations count="4">
    <dataValidation sqref="S6:S8" showDropDown="0" showInputMessage="1" showErrorMessage="1" allowBlank="1" type="list">
      <formula1>"수용,부분수용,불가,제외"</formula1>
    </dataValidation>
    <dataValidation sqref="R6:R8" showDropDown="0" showInputMessage="1" showErrorMessage="1" allowBlank="1" type="list">
      <formula1>"기능,비기능(품질),인터페이스,기술인프라,기타"</formula1>
    </dataValidation>
    <dataValidation sqref="I6:I8" showDropDown="0" showInputMessage="1" showErrorMessage="1" allowBlank="1" type="list">
      <formula1>"추가,내용변경,삭제"</formula1>
    </dataValidation>
    <dataValidation sqref="J6:J8" showDropDown="0" showInputMessage="1" showErrorMessage="1" allowBlank="1" type="list">
      <formula1>"완료,진행중"</formula1>
    </dataValidation>
  </dataValidations>
  <pageMargins left="0.5905511811023623" right="0.5905511811023623" top="0.7874015748031497" bottom="0.5118110236220472" header="0.5118110236220472" footer="0.3149606299212598"/>
  <pageSetup orientation="landscape" paperSize="9" scale="50" fitToHeight="0"/>
  <headerFooter alignWithMargins="0">
    <oddHeader>&amp;L&amp;"바탕체,굵게"&amp;9 [PJ명] 그룹웨어 구축&amp;R&amp;"바탕체,굵게"&amp;9 PJ명_ANL03_요구사항정의 GAP분석서.xlsx</oddHeader>
    <oddFooter>&amp;L고객사명&amp;C&amp;"바탕체,보통"&amp;9 &amp;P / &amp;N&amp;R&amp;G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W16"/>
  <sheetViews>
    <sheetView showGridLines="0" zoomScale="85" zoomScaleNormal="85" zoomScaleSheetLayoutView="130" workbookViewId="0">
      <pane xSplit="6" ySplit="5" topLeftCell="G6" activePane="bottomRight" state="frozen"/>
      <selection activeCell="C21" sqref="C21:D21"/>
      <selection pane="topRight" activeCell="C21" sqref="C21:D21"/>
      <selection pane="bottomLeft" activeCell="C21" sqref="C21:D21"/>
      <selection pane="bottomRight" activeCell="F22" sqref="F22"/>
    </sheetView>
  </sheetViews>
  <sheetFormatPr baseColWidth="8" defaultColWidth="8.9140625" defaultRowHeight="16"/>
  <cols>
    <col width="3.4140625" customWidth="1" style="9" min="1" max="1"/>
    <col width="11" customWidth="1" style="9" min="2" max="2"/>
    <col width="10.1640625" bestFit="1" customWidth="1" style="9" min="3" max="3"/>
    <col width="12.83203125" customWidth="1" style="7" min="4" max="4"/>
    <col width="20.83203125" customWidth="1" style="7" min="5" max="5"/>
    <col width="28.83203125" customWidth="1" style="7" min="6" max="6"/>
    <col width="28.83203125" customWidth="1" style="8" min="7" max="8"/>
    <col width="6.4140625" customWidth="1" style="9" min="9" max="9"/>
    <col width="9.75" customWidth="1" style="9" min="10" max="10"/>
    <col width="10.08203125" customWidth="1" style="7" min="11" max="12"/>
    <col width="6.4140625" customWidth="1" style="7" min="13" max="13"/>
    <col width="13.25" customWidth="1" style="7" min="14" max="14"/>
    <col width="29.9140625" customWidth="1" style="7" min="15" max="15"/>
    <col width="6.4140625" customWidth="1" style="9" min="16" max="17"/>
    <col width="3.83203125" customWidth="1" style="9" min="18" max="18"/>
    <col width="4.4140625" bestFit="1" customWidth="1" style="9" min="19" max="19"/>
    <col width="10.6640625" customWidth="1" style="7" min="20" max="21"/>
    <col width="9.6640625" bestFit="1" customWidth="1" style="9" min="22" max="22"/>
    <col width="12" customWidth="1" style="7" min="23" max="23"/>
    <col width="8.9140625" customWidth="1" style="5" min="24" max="16384"/>
  </cols>
  <sheetData>
    <row r="1" ht="10" customHeight="1">
      <c r="A1" s="111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</row>
    <row r="2" ht="24" customFormat="1" customHeight="1" s="6" thickBot="1">
      <c r="A2" s="112">
        <f>"▣ " &amp; RIGHT(CELL("filename",A1),LEN(CELL("filename",A1))-FIND("]",CELL("filename",A1))) &amp; " 요구사항정의서"</f>
        <v/>
      </c>
      <c r="B2" s="144" t="n"/>
      <c r="C2" s="144" t="n"/>
      <c r="D2" s="144" t="n"/>
      <c r="E2" s="144" t="n"/>
      <c r="F2" s="17" t="n"/>
      <c r="G2" s="18" t="n"/>
      <c r="H2" s="26" t="n"/>
      <c r="I2" s="19" t="n"/>
      <c r="J2" s="19" t="n"/>
      <c r="K2" s="20" t="n"/>
      <c r="L2" s="20" t="n"/>
      <c r="M2" s="20" t="n"/>
      <c r="N2" s="20" t="n"/>
      <c r="O2" s="21" t="n"/>
      <c r="P2" s="22" t="n"/>
      <c r="Q2" s="22" t="n"/>
      <c r="R2" s="19" t="n"/>
      <c r="S2" s="19" t="n"/>
      <c r="T2" s="20" t="inlineStr">
        <is>
          <t>▣ 작성자:</t>
        </is>
      </c>
      <c r="U2" s="21" t="inlineStr">
        <is>
          <t>PM명</t>
        </is>
      </c>
      <c r="V2" s="22" t="inlineStr">
        <is>
          <t>▣ 작성일:</t>
        </is>
      </c>
      <c r="W2" s="23" t="inlineStr">
        <is>
          <t>20YY-MM-DD</t>
        </is>
      </c>
    </row>
    <row r="3" ht="3" customFormat="1" customHeight="1" s="6">
      <c r="A3" s="10" t="n"/>
      <c r="B3" s="10" t="n"/>
      <c r="C3" s="10" t="n"/>
      <c r="D3" s="10" t="n"/>
      <c r="E3" s="10" t="n"/>
      <c r="F3" s="11" t="n"/>
      <c r="G3" s="12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</row>
    <row r="4" ht="17.5" customFormat="1" customHeight="1" s="6">
      <c r="A4" s="113" t="inlineStr">
        <is>
          <t>요구사항 정의</t>
        </is>
      </c>
      <c r="B4" s="145" t="n"/>
      <c r="C4" s="145" t="n"/>
      <c r="D4" s="145" t="n"/>
      <c r="E4" s="145" t="n"/>
      <c r="F4" s="145" t="n"/>
      <c r="G4" s="145" t="n"/>
      <c r="H4" s="146" t="n"/>
      <c r="I4" s="147" t="inlineStr">
        <is>
          <t>변경 내역</t>
        </is>
      </c>
      <c r="J4" s="128" t="n"/>
      <c r="K4" s="128" t="n"/>
      <c r="L4" s="128" t="n"/>
      <c r="M4" s="128" t="n"/>
      <c r="N4" s="128" t="n"/>
      <c r="O4" s="128" t="n"/>
      <c r="P4" s="128" t="n"/>
      <c r="Q4" s="126" t="n"/>
      <c r="R4" s="147" t="inlineStr">
        <is>
          <t>기타</t>
        </is>
      </c>
      <c r="S4" s="128" t="n"/>
      <c r="T4" s="128" t="n"/>
      <c r="U4" s="128" t="n"/>
      <c r="V4" s="128" t="n"/>
      <c r="W4" s="126" t="n"/>
    </row>
    <row r="5" ht="44" customFormat="1" customHeight="1" s="6" thickBot="1">
      <c r="A5" s="14" t="inlineStr">
        <is>
          <t>NO</t>
        </is>
      </c>
      <c r="B5" s="25" t="inlineStr">
        <is>
          <t>서브시스템</t>
        </is>
      </c>
      <c r="C5" s="15" t="inlineStr">
        <is>
          <t>요구사항 ID</t>
        </is>
      </c>
      <c r="D5" s="25" t="inlineStr">
        <is>
          <t>요구사항 구분</t>
        </is>
      </c>
      <c r="E5" s="25" t="inlineStr">
        <is>
          <t>요구사항</t>
        </is>
      </c>
      <c r="F5" s="25" t="inlineStr">
        <is>
          <t>요구사항 상세 설명</t>
        </is>
      </c>
      <c r="G5" s="25" t="inlineStr">
        <is>
          <t>매핑/GAP분석</t>
        </is>
      </c>
      <c r="H5" s="25" t="inlineStr">
        <is>
          <t>GAP대응방안</t>
        </is>
      </c>
      <c r="I5" s="25" t="inlineStr">
        <is>
          <t>변경
구분</t>
        </is>
      </c>
      <c r="J5" s="25" t="inlineStr">
        <is>
          <t>변경
완료 여부</t>
        </is>
      </c>
      <c r="K5" s="25" t="inlineStr">
        <is>
          <t>변경
시작일</t>
        </is>
      </c>
      <c r="L5" s="25" t="inlineStr">
        <is>
          <t>변경
완료일</t>
        </is>
      </c>
      <c r="M5" s="25" t="inlineStr">
        <is>
          <t>변경
요청자</t>
        </is>
      </c>
      <c r="N5" s="25" t="inlineStr">
        <is>
          <t>현재 적용된 
변경 버전</t>
        </is>
      </c>
      <c r="O5" s="25" t="inlineStr">
        <is>
          <t>변경 상세 내용
(변경일자 (변경 버전), 변경 상세 내용)</t>
        </is>
      </c>
      <c r="P5" s="25" t="inlineStr">
        <is>
          <t>변경
출처</t>
        </is>
      </c>
      <c r="Q5" s="25" t="inlineStr">
        <is>
          <t>변경
승인근거</t>
        </is>
      </c>
      <c r="R5" s="25" t="inlineStr">
        <is>
          <t>기능분류</t>
        </is>
      </c>
      <c r="S5" s="25" t="inlineStr">
        <is>
          <t>수용 
여부</t>
        </is>
      </c>
      <c r="T5" s="25" t="inlineStr">
        <is>
          <t>요구사항출처</t>
        </is>
      </c>
      <c r="U5" s="25" t="inlineStr">
        <is>
          <t>요구추적 출처</t>
        </is>
      </c>
      <c r="V5" s="25" t="inlineStr">
        <is>
          <t>관련부서</t>
        </is>
      </c>
      <c r="W5" s="16" t="inlineStr">
        <is>
          <t>비고</t>
        </is>
      </c>
    </row>
    <row r="6" ht="43.5" customHeight="1">
      <c r="A6" s="64">
        <f>ROW($A6)-5</f>
        <v/>
      </c>
      <c r="B6" s="43" t="inlineStr">
        <is>
          <t>이음톡</t>
        </is>
      </c>
      <c r="C6" s="65" t="inlineStr">
        <is>
          <t>REQ-EUM-001</t>
        </is>
      </c>
      <c r="D6" s="66" t="inlineStr">
        <is>
          <t>메신저</t>
        </is>
      </c>
      <c r="E6" s="67" t="inlineStr">
        <is>
          <t>외부 사용자</t>
        </is>
      </c>
      <c r="F6" s="56" t="inlineStr">
        <is>
          <t>vendor 사에서도 사용할수있도록 요청</t>
        </is>
      </c>
      <c r="G6" s="53" t="n"/>
      <c r="H6" s="53" t="n"/>
      <c r="I6" s="43" t="n"/>
      <c r="J6" s="43" t="n"/>
      <c r="K6" s="43" t="n"/>
      <c r="L6" s="43" t="n"/>
      <c r="M6" s="43" t="n"/>
      <c r="N6" s="43" t="n"/>
      <c r="O6" s="53" t="n"/>
      <c r="P6" s="43" t="n"/>
      <c r="Q6" s="43" t="n"/>
      <c r="R6" s="43" t="inlineStr">
        <is>
          <t>기능</t>
        </is>
      </c>
      <c r="S6" s="43" t="inlineStr">
        <is>
          <t>수용</t>
        </is>
      </c>
      <c r="T6" s="43" t="inlineStr">
        <is>
          <t>영업인수인계자료, 260310인터뷰</t>
        </is>
      </c>
      <c r="U6" s="53" t="n"/>
      <c r="V6" s="53" t="n"/>
      <c r="W6" s="53" t="n"/>
    </row>
    <row r="7" ht="43.5" customHeight="1">
      <c r="A7" s="64">
        <f>ROW($A7)-5</f>
        <v/>
      </c>
      <c r="B7" s="43" t="inlineStr">
        <is>
          <t>이음톡</t>
        </is>
      </c>
      <c r="C7" s="65" t="inlineStr">
        <is>
          <t>REQ-EUM-002</t>
        </is>
      </c>
      <c r="D7" s="66" t="inlineStr">
        <is>
          <t>메신저</t>
        </is>
      </c>
      <c r="E7" s="67" t="inlineStr">
        <is>
          <t>사간 채팅기능 구현</t>
        </is>
      </c>
      <c r="F7" s="56" t="inlineStr">
        <is>
          <t xml:space="preserve">V1, V2간 채팅기능 구현 요청 고려
</t>
        </is>
      </c>
      <c r="G7" s="53" t="n"/>
      <c r="H7" s="53" t="n"/>
      <c r="I7" s="43" t="n"/>
      <c r="J7" s="43" t="n"/>
      <c r="K7" s="43" t="n"/>
      <c r="L7" s="43" t="n"/>
      <c r="M7" s="43" t="n"/>
      <c r="N7" s="43" t="n"/>
      <c r="O7" s="53" t="n"/>
      <c r="P7" s="43" t="n"/>
      <c r="Q7" s="43" t="n"/>
      <c r="R7" s="43" t="inlineStr">
        <is>
          <t>기능</t>
        </is>
      </c>
      <c r="S7" s="43" t="inlineStr">
        <is>
          <t>수용</t>
        </is>
      </c>
      <c r="T7" s="43" t="inlineStr">
        <is>
          <t>영업인수인계자료, 260311인터뷰</t>
        </is>
      </c>
      <c r="U7" s="53" t="n"/>
      <c r="V7" s="53" t="n"/>
      <c r="W7" s="53" t="n"/>
    </row>
    <row r="8" ht="43.5" customHeight="1">
      <c r="A8" s="71">
        <f>ROW($A8)-5</f>
        <v/>
      </c>
      <c r="B8" s="43" t="inlineStr">
        <is>
          <t>이음톡</t>
        </is>
      </c>
      <c r="C8" s="65" t="inlineStr">
        <is>
          <t>REQ-EUM-003</t>
        </is>
      </c>
      <c r="D8" s="68" t="inlineStr">
        <is>
          <t>메신저</t>
        </is>
      </c>
      <c r="E8" s="69" t="inlineStr">
        <is>
          <t>다국어</t>
        </is>
      </c>
      <c r="F8" s="70" t="inlineStr">
        <is>
          <t>베트남어 적용</t>
        </is>
      </c>
      <c r="G8" s="53" t="n"/>
      <c r="H8" s="53" t="n"/>
      <c r="I8" s="43" t="n"/>
      <c r="J8" s="43" t="n"/>
      <c r="K8" s="43" t="n"/>
      <c r="L8" s="43" t="n"/>
      <c r="M8" s="43" t="n"/>
      <c r="N8" s="43" t="n"/>
      <c r="O8" s="53" t="n"/>
      <c r="P8" s="43" t="n"/>
      <c r="Q8" s="43" t="n"/>
      <c r="R8" s="51" t="inlineStr">
        <is>
          <t>기능</t>
        </is>
      </c>
      <c r="S8" s="51" t="inlineStr">
        <is>
          <t>수용</t>
        </is>
      </c>
      <c r="T8" s="43" t="inlineStr">
        <is>
          <t>영업인수인계자료, 260312인터뷰</t>
        </is>
      </c>
      <c r="U8" s="53" t="n"/>
      <c r="V8" s="53" t="n"/>
      <c r="W8" s="53" t="n"/>
    </row>
    <row r="9">
      <c r="D9" s="8" t="n"/>
      <c r="E9" s="8" t="n"/>
      <c r="F9" s="8" t="n"/>
      <c r="K9" s="8" t="n"/>
      <c r="L9" s="8" t="n"/>
      <c r="M9" s="8" t="n"/>
      <c r="N9" s="8" t="n"/>
      <c r="O9" s="8" t="n"/>
      <c r="T9" s="8" t="n"/>
      <c r="U9" s="8" t="n"/>
      <c r="W9" s="8" t="n"/>
    </row>
    <row r="10">
      <c r="D10" s="8" t="n"/>
      <c r="E10" s="8" t="n"/>
      <c r="F10" s="8" t="n"/>
      <c r="K10" s="8" t="n"/>
      <c r="L10" s="8" t="n"/>
      <c r="M10" s="8" t="n"/>
      <c r="N10" s="8" t="n"/>
      <c r="O10" s="8" t="n"/>
      <c r="T10" s="8" t="n"/>
      <c r="U10" s="8" t="n"/>
      <c r="W10" s="8" t="n"/>
    </row>
    <row r="11">
      <c r="D11" s="8" t="n"/>
      <c r="E11" s="8" t="n"/>
      <c r="F11" s="8" t="n"/>
      <c r="K11" s="8" t="n"/>
      <c r="L11" s="8" t="n"/>
      <c r="M11" s="8" t="n"/>
      <c r="N11" s="8" t="n"/>
      <c r="O11" s="8" t="n"/>
      <c r="T11" s="8" t="n"/>
      <c r="U11" s="8" t="n"/>
      <c r="W11" s="8" t="n"/>
    </row>
    <row r="12">
      <c r="D12" s="8" t="n"/>
      <c r="E12" s="8" t="n"/>
      <c r="F12" s="8" t="n"/>
      <c r="K12" s="8" t="n"/>
      <c r="L12" s="8" t="n"/>
      <c r="M12" s="8" t="n"/>
      <c r="N12" s="8" t="n"/>
      <c r="O12" s="8" t="n"/>
      <c r="T12" s="8" t="n"/>
      <c r="U12" s="8" t="n"/>
      <c r="W12" s="8" t="n"/>
    </row>
    <row r="13">
      <c r="D13" s="8" t="n"/>
      <c r="E13" s="8" t="n"/>
      <c r="F13" s="8" t="n"/>
      <c r="K13" s="8" t="n"/>
      <c r="L13" s="8" t="n"/>
      <c r="M13" s="8" t="n"/>
      <c r="N13" s="8" t="n"/>
      <c r="O13" s="8" t="n"/>
      <c r="T13" s="8" t="n"/>
      <c r="U13" s="8" t="n"/>
      <c r="W13" s="8" t="n"/>
    </row>
    <row r="14">
      <c r="D14" s="8" t="n"/>
      <c r="E14" s="8" t="n"/>
      <c r="F14" s="8" t="n"/>
      <c r="K14" s="8" t="n"/>
      <c r="L14" s="8" t="n"/>
      <c r="M14" s="8" t="n"/>
      <c r="N14" s="8" t="n"/>
      <c r="O14" s="8" t="n"/>
      <c r="T14" s="8" t="n"/>
      <c r="U14" s="8" t="n"/>
      <c r="W14" s="8" t="n"/>
    </row>
    <row r="15">
      <c r="D15" s="8" t="n"/>
      <c r="E15" s="8" t="n"/>
      <c r="F15" s="8" t="n"/>
      <c r="K15" s="8" t="n"/>
      <c r="L15" s="8" t="n"/>
      <c r="M15" s="8" t="n"/>
      <c r="N15" s="8" t="n"/>
      <c r="O15" s="8" t="n"/>
      <c r="T15" s="8" t="n"/>
      <c r="U15" s="8" t="n"/>
      <c r="W15" s="8" t="n"/>
    </row>
    <row r="16">
      <c r="D16" s="8" t="n"/>
      <c r="E16" s="8" t="n"/>
      <c r="F16" s="8" t="n"/>
      <c r="K16" s="8" t="n"/>
      <c r="L16" s="8" t="n"/>
      <c r="M16" s="8" t="n"/>
      <c r="N16" s="8" t="n"/>
      <c r="O16" s="8" t="n"/>
      <c r="T16" s="8" t="n"/>
      <c r="U16" s="8" t="n"/>
      <c r="W16" s="8" t="n"/>
    </row>
  </sheetData>
  <mergeCells count="5">
    <mergeCell ref="A4:H4"/>
    <mergeCell ref="A2:E2"/>
    <mergeCell ref="R4:W4"/>
    <mergeCell ref="I4:Q4"/>
    <mergeCell ref="A1:N1"/>
  </mergeCells>
  <conditionalFormatting sqref="A9:H90">
    <cfRule type="expression" priority="67" dxfId="1">
      <formula>IF($J9="제외", TRUE, FALSE)</formula>
    </cfRule>
    <cfRule type="expression" priority="68" dxfId="4">
      <formula>IF(OR($J9="부분수용", $J9="불가"), TRUE, FALSE)</formula>
    </cfRule>
  </conditionalFormatting>
  <conditionalFormatting sqref="S9:S90 U6:W90">
    <cfRule type="expression" priority="43" dxfId="1">
      <formula>IF($S6="제외", TRUE, FALSE)</formula>
    </cfRule>
    <cfRule type="expression" priority="44" dxfId="4">
      <formula>IF(OR($S6="부분수용", $S6="불가"), TRUE, FALSE)</formula>
    </cfRule>
  </conditionalFormatting>
  <conditionalFormatting sqref="T9:T90">
    <cfRule type="expression" priority="41" dxfId="1">
      <formula>IF($S9="제외", TRUE, FALSE)</formula>
    </cfRule>
    <cfRule type="expression" priority="42" dxfId="4">
      <formula>IF(OR($S9="부분수용", $S9="불가"), TRUE, FALSE)</formula>
    </cfRule>
  </conditionalFormatting>
  <conditionalFormatting sqref="I9:I90">
    <cfRule type="expression" priority="39" dxfId="1">
      <formula>IF(#REF!="제외", TRUE, FALSE)</formula>
    </cfRule>
    <cfRule type="expression" priority="40" dxfId="4">
      <formula>IF(OR(#REF!="부분수용", #REF!="불가"), TRUE, FALSE)</formula>
    </cfRule>
  </conditionalFormatting>
  <conditionalFormatting sqref="O9:O90 Q9:Q90">
    <cfRule type="expression" priority="37" dxfId="1">
      <formula>IF(#REF!="제외", TRUE, FALSE)</formula>
    </cfRule>
    <cfRule type="expression" priority="38" dxfId="4">
      <formula>IF(OR(#REF!="부분수용", #REF!="불가"), TRUE, FALSE)</formula>
    </cfRule>
  </conditionalFormatting>
  <conditionalFormatting sqref="K9:K90 M9:N90">
    <cfRule type="expression" priority="35" dxfId="1">
      <formula>IF(#REF!="제외", TRUE, FALSE)</formula>
    </cfRule>
    <cfRule type="expression" priority="36" dxfId="4">
      <formula>IF(OR(#REF!="부분수용", #REF!="불가"), TRUE, FALSE)</formula>
    </cfRule>
  </conditionalFormatting>
  <conditionalFormatting sqref="L9:L90">
    <cfRule type="expression" priority="27" dxfId="1">
      <formula>IF(#REF!="제외", TRUE, FALSE)</formula>
    </cfRule>
    <cfRule type="expression" priority="28" dxfId="4">
      <formula>IF(OR(#REF!="부분수용", #REF!="불가"), TRUE, FALSE)</formula>
    </cfRule>
  </conditionalFormatting>
  <conditionalFormatting sqref="J9:J90">
    <cfRule type="expression" priority="31" dxfId="1">
      <formula>IF(#REF!="제외", TRUE, FALSE)</formula>
    </cfRule>
    <cfRule type="expression" priority="32" dxfId="4">
      <formula>IF(OR(#REF!="부분수용", #REF!="불가"), TRUE, FALSE)</formula>
    </cfRule>
  </conditionalFormatting>
  <conditionalFormatting sqref="P9:P90">
    <cfRule type="expression" priority="25" dxfId="1">
      <formula>IF(#REF!="제외", TRUE, FALSE)</formula>
    </cfRule>
    <cfRule type="expression" priority="26" dxfId="4">
      <formula>IF(OR(#REF!="부분수용", #REF!="불가"), TRUE, FALSE)</formula>
    </cfRule>
  </conditionalFormatting>
  <conditionalFormatting sqref="R9:R90">
    <cfRule type="expression" priority="21" dxfId="1">
      <formula>IF($J9="제외", TRUE, FALSE)</formula>
    </cfRule>
    <cfRule type="expression" priority="22" dxfId="4">
      <formula>IF(OR($J9="부분수용", $J9="불가"), TRUE, FALSE)</formula>
    </cfRule>
  </conditionalFormatting>
  <conditionalFormatting sqref="G6:Q8">
    <cfRule type="expression" priority="5" dxfId="1">
      <formula>IF($S6="제외", TRUE, FALSE)</formula>
    </cfRule>
    <cfRule type="expression" priority="6" dxfId="4">
      <formula>IF(OR($S6="부분수용", $S6="불가"), TRUE, FALSE)</formula>
    </cfRule>
  </conditionalFormatting>
  <conditionalFormatting sqref="A6:F8">
    <cfRule type="expression" priority="3" dxfId="1">
      <formula>IF($J6="제외", TRUE, FALSE)</formula>
    </cfRule>
    <cfRule type="expression" priority="4" dxfId="0">
      <formula>IF(OR($J6="부분수용", $J6="불가"), TRUE, FALSE)</formula>
    </cfRule>
  </conditionalFormatting>
  <conditionalFormatting sqref="R6:T8">
    <cfRule type="expression" priority="1" dxfId="1">
      <formula>IF($J6="제외", TRUE, FALSE)</formula>
    </cfRule>
    <cfRule type="expression" priority="2" dxfId="0">
      <formula>IF(OR($J6="부분수용", $J6="불가"), TRUE, FALSE)</formula>
    </cfRule>
  </conditionalFormatting>
  <dataValidations count="4">
    <dataValidation sqref="I6:I8" showDropDown="0" showInputMessage="1" showErrorMessage="1" allowBlank="1" type="list">
      <formula1>"추가,내용변경,삭제"</formula1>
    </dataValidation>
    <dataValidation sqref="R6:R8" showDropDown="0" showInputMessage="1" showErrorMessage="1" allowBlank="1" type="list">
      <formula1>"기능,비기능(품질),인터페이스,기술인프라,기타"</formula1>
    </dataValidation>
    <dataValidation sqref="J6:J8" showDropDown="0" showInputMessage="1" showErrorMessage="1" allowBlank="1" type="list">
      <formula1>"완료,진행중"</formula1>
    </dataValidation>
    <dataValidation sqref="S6:S8" showDropDown="0" showInputMessage="1" showErrorMessage="1" allowBlank="1" type="list">
      <formula1>"수용,부분수용,불가,제외"</formula1>
    </dataValidation>
  </dataValidations>
  <pageMargins left="0.5905511811023623" right="0.5905511811023623" top="0.7874015748031497" bottom="0.5118110236220472" header="0.5118110236220472" footer="0.3149606299212598"/>
  <pageSetup orientation="landscape" paperSize="9" scale="41" fitToHeight="0"/>
  <headerFooter alignWithMargins="0">
    <oddHeader>&amp;L&amp;"바탕체,굵게"&amp;9 [PJ명] 그룹웨어 구축&amp;R&amp;"바탕체,굵게"&amp;9 PJ명_ANL03_요구사항정의 GAP분석서.xlsx</oddHeader>
    <oddFooter>&amp;L고객사명&amp;C&amp;"바탕체,보통"&amp;9 &amp;P / &amp;N&amp;R&amp;G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codeName="Sheet20">
    <outlinePr summaryBelow="1" summaryRight="1"/>
    <pageSetUpPr/>
  </sheetPr>
  <dimension ref="A1:G5"/>
  <sheetViews>
    <sheetView workbookViewId="0">
      <selection activeCell="K35" sqref="K35"/>
    </sheetView>
  </sheetViews>
  <sheetFormatPr baseColWidth="8" defaultColWidth="8.9140625" defaultRowHeight="13"/>
  <cols>
    <col width="8.9140625" customWidth="1" style="1" min="1" max="1"/>
    <col width="3" customWidth="1" style="1" min="2" max="2"/>
    <col width="8.9140625" customWidth="1" style="1" min="3" max="3"/>
    <col width="2.9140625" customWidth="1" style="1" min="4" max="4"/>
    <col width="8.9140625" customWidth="1" style="1" min="5" max="5"/>
    <col width="2.08203125" customWidth="1" style="1" min="6" max="6"/>
    <col width="8.9140625" customWidth="1" style="1" min="7" max="16384"/>
  </cols>
  <sheetData>
    <row r="1">
      <c r="A1" s="3" t="inlineStr">
        <is>
          <t>분류</t>
        </is>
      </c>
      <c r="C1" s="3" t="inlineStr">
        <is>
          <t>중요도</t>
        </is>
      </c>
      <c r="E1" s="3" t="inlineStr">
        <is>
          <t>난이도</t>
        </is>
      </c>
      <c r="G1" s="4" t="inlineStr">
        <is>
          <t>수용여부</t>
        </is>
      </c>
    </row>
    <row r="2">
      <c r="A2" s="2" t="inlineStr">
        <is>
          <t>기능</t>
        </is>
      </c>
      <c r="C2" s="2" t="inlineStr">
        <is>
          <t>High</t>
        </is>
      </c>
      <c r="E2" s="2" t="inlineStr">
        <is>
          <t>High</t>
        </is>
      </c>
      <c r="G2" s="2" t="inlineStr">
        <is>
          <t>수용</t>
        </is>
      </c>
    </row>
    <row r="3">
      <c r="A3" s="2" t="inlineStr">
        <is>
          <t>비기능</t>
        </is>
      </c>
      <c r="C3" s="2" t="inlineStr">
        <is>
          <t>Mid</t>
        </is>
      </c>
      <c r="E3" s="2" t="inlineStr">
        <is>
          <t>Mid</t>
        </is>
      </c>
      <c r="G3" s="2" t="inlineStr">
        <is>
          <t>불가</t>
        </is>
      </c>
    </row>
    <row r="4">
      <c r="A4" s="2" t="inlineStr">
        <is>
          <t>인터페이스</t>
        </is>
      </c>
      <c r="C4" s="2" t="inlineStr">
        <is>
          <t>Low</t>
        </is>
      </c>
      <c r="E4" s="2" t="inlineStr">
        <is>
          <t>Low</t>
        </is>
      </c>
      <c r="G4" s="2" t="inlineStr">
        <is>
          <t>삭제</t>
        </is>
      </c>
    </row>
    <row r="5">
      <c r="A5" s="2" t="inlineStr">
        <is>
          <t>기타</t>
        </is>
      </c>
      <c r="G5" s="2" t="inlineStr">
        <is>
          <t>협의중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이철</dc:creator>
  <dc:title xmlns:dc="http://purl.org/dc/elements/1.1/">요구사항정의서</dc:title>
  <dcterms:created xmlns:dcterms="http://purl.org/dc/terms/" xmlns:xsi="http://www.w3.org/2001/XMLSchema-instance" xsi:type="dcterms:W3CDTF">1998-12-28T01:18:47Z</dcterms:created>
  <dcterms:modified xmlns:dcterms="http://purl.org/dc/terms/" xmlns:xsi="http://www.w3.org/2001/XMLSchema-instance" xsi:type="dcterms:W3CDTF">2026-04-15T02:40:43Z</dcterms:modified>
  <cp:lastModifiedBy>강민석</cp:lastModifiedBy>
  <cp:lastPrinted>2026-04-08T06:07:20Z</cp:lastPrinted>
</cp:coreProperties>
</file>